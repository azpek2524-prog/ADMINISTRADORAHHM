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A4016BDD-F4CC-B641-93F3-019730C483B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cciones" sheetId="1" r:id="rId1"/>
    <sheet name="Datos Empresa" sheetId="2" r:id="rId2"/>
    <sheet name="Catalogo Materiales" sheetId="3" r:id="rId3"/>
    <sheet name="Obras" sheetId="4" r:id="rId4"/>
    <sheet name="Movimientos" sheetId="5" r:id="rId5"/>
    <sheet name="Inventario Bodega" sheetId="6" r:id="rId6"/>
    <sheet name="Inventario por Obra" sheetId="7" r:id="rId7"/>
    <sheet name="Catalogo Herramientas" sheetId="8" r:id="rId8"/>
    <sheet name="Asignaciones Herramientas" sheetId="9" r:id="rId9"/>
    <sheet name="Ubicacion Herramientas" sheetId="10" r:id="rId10"/>
    <sheet name="Catalogo Precios Venta" sheetId="11" r:id="rId11"/>
    <sheet name="Cotizador" sheetId="12" r:id="rId12"/>
    <sheet name="Historial Cotizaciones" sheetId="13" r:id="rId1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12" l="1"/>
  <c r="F4" i="12"/>
  <c r="B47" i="12"/>
  <c r="B46" i="12"/>
  <c r="B45" i="12"/>
  <c r="B44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9" i="12"/>
  <c r="G40" i="12"/>
  <c r="G41" i="12"/>
  <c r="E37" i="12"/>
  <c r="C37" i="12"/>
  <c r="B37" i="12"/>
  <c r="E36" i="12"/>
  <c r="C36" i="12"/>
  <c r="B36" i="12"/>
  <c r="E35" i="12"/>
  <c r="C35" i="12"/>
  <c r="B35" i="12"/>
  <c r="E34" i="12"/>
  <c r="C34" i="12"/>
  <c r="B34" i="12"/>
  <c r="E33" i="12"/>
  <c r="C33" i="12"/>
  <c r="B33" i="12"/>
  <c r="E32" i="12"/>
  <c r="C32" i="12"/>
  <c r="B32" i="12"/>
  <c r="E31" i="12"/>
  <c r="C31" i="12"/>
  <c r="B31" i="12"/>
  <c r="E30" i="12"/>
  <c r="C30" i="12"/>
  <c r="B30" i="12"/>
  <c r="E29" i="12"/>
  <c r="C29" i="12"/>
  <c r="B29" i="12"/>
  <c r="E28" i="12"/>
  <c r="C28" i="12"/>
  <c r="B28" i="12"/>
  <c r="E27" i="12"/>
  <c r="C27" i="12"/>
  <c r="B27" i="12"/>
  <c r="E26" i="12"/>
  <c r="C26" i="12"/>
  <c r="B26" i="12"/>
  <c r="E25" i="12"/>
  <c r="C25" i="12"/>
  <c r="B25" i="12"/>
  <c r="E24" i="12"/>
  <c r="C24" i="12"/>
  <c r="B24" i="12"/>
  <c r="E23" i="12"/>
  <c r="C23" i="12"/>
  <c r="B23" i="12"/>
  <c r="E22" i="12"/>
  <c r="C22" i="12"/>
  <c r="B22" i="12"/>
  <c r="E21" i="12"/>
  <c r="C21" i="12"/>
  <c r="B21" i="12"/>
  <c r="E20" i="12"/>
  <c r="C20" i="12"/>
  <c r="B20" i="12"/>
  <c r="E19" i="12"/>
  <c r="C19" i="12"/>
  <c r="B19" i="12"/>
  <c r="E18" i="12"/>
  <c r="C18" i="12"/>
  <c r="B18" i="12"/>
  <c r="E17" i="12"/>
  <c r="C17" i="12"/>
  <c r="B17" i="12"/>
  <c r="E16" i="12"/>
  <c r="C16" i="12"/>
  <c r="B16" i="12"/>
  <c r="E15" i="12"/>
  <c r="C15" i="12"/>
  <c r="B15" i="12"/>
  <c r="E14" i="12"/>
  <c r="C14" i="12"/>
  <c r="B14" i="12"/>
  <c r="E13" i="12"/>
  <c r="C13" i="12"/>
  <c r="B13" i="12"/>
  <c r="A3" i="12"/>
  <c r="A2" i="12"/>
  <c r="A1" i="12"/>
  <c r="A19" i="10"/>
  <c r="K19" i="10"/>
  <c r="L19" i="10"/>
  <c r="D19" i="10"/>
  <c r="H19" i="10"/>
  <c r="I19" i="10"/>
  <c r="G19" i="10"/>
  <c r="F19" i="10"/>
  <c r="E19" i="10"/>
  <c r="C19" i="10"/>
  <c r="B19" i="10"/>
  <c r="A18" i="10"/>
  <c r="K18" i="10"/>
  <c r="L18" i="10"/>
  <c r="D18" i="10"/>
  <c r="H18" i="10"/>
  <c r="I18" i="10"/>
  <c r="G18" i="10"/>
  <c r="F18" i="10"/>
  <c r="E18" i="10"/>
  <c r="C18" i="10"/>
  <c r="B18" i="10"/>
  <c r="A17" i="10"/>
  <c r="K17" i="10"/>
  <c r="L17" i="10"/>
  <c r="D17" i="10"/>
  <c r="H17" i="10"/>
  <c r="I17" i="10"/>
  <c r="G17" i="10"/>
  <c r="F17" i="10"/>
  <c r="E17" i="10"/>
  <c r="C17" i="10"/>
  <c r="B17" i="10"/>
  <c r="A16" i="10"/>
  <c r="K16" i="10"/>
  <c r="L16" i="10"/>
  <c r="D16" i="10"/>
  <c r="H16" i="10"/>
  <c r="I16" i="10"/>
  <c r="G16" i="10"/>
  <c r="F16" i="10"/>
  <c r="E16" i="10"/>
  <c r="C16" i="10"/>
  <c r="B16" i="10"/>
  <c r="A15" i="10"/>
  <c r="K15" i="10"/>
  <c r="L15" i="10"/>
  <c r="D15" i="10"/>
  <c r="H15" i="10"/>
  <c r="I15" i="10"/>
  <c r="G15" i="10"/>
  <c r="F15" i="10"/>
  <c r="E15" i="10"/>
  <c r="C15" i="10"/>
  <c r="B15" i="10"/>
  <c r="A14" i="10"/>
  <c r="K14" i="10"/>
  <c r="L14" i="10"/>
  <c r="D14" i="10"/>
  <c r="H14" i="10"/>
  <c r="I14" i="10"/>
  <c r="G14" i="10"/>
  <c r="F14" i="10"/>
  <c r="E14" i="10"/>
  <c r="C14" i="10"/>
  <c r="B14" i="10"/>
  <c r="A13" i="10"/>
  <c r="K13" i="10"/>
  <c r="L13" i="10"/>
  <c r="D13" i="10"/>
  <c r="H13" i="10"/>
  <c r="I13" i="10"/>
  <c r="G13" i="10"/>
  <c r="F13" i="10"/>
  <c r="E13" i="10"/>
  <c r="C13" i="10"/>
  <c r="B13" i="10"/>
  <c r="A12" i="10"/>
  <c r="K12" i="10"/>
  <c r="L12" i="10"/>
  <c r="D12" i="10"/>
  <c r="H12" i="10"/>
  <c r="I12" i="10"/>
  <c r="G12" i="10"/>
  <c r="F12" i="10"/>
  <c r="E12" i="10"/>
  <c r="C12" i="10"/>
  <c r="B12" i="10"/>
  <c r="A11" i="10"/>
  <c r="K11" i="10"/>
  <c r="L11" i="10"/>
  <c r="D11" i="10"/>
  <c r="H11" i="10"/>
  <c r="I11" i="10"/>
  <c r="G11" i="10"/>
  <c r="F11" i="10"/>
  <c r="E11" i="10"/>
  <c r="C11" i="10"/>
  <c r="B11" i="10"/>
  <c r="A10" i="10"/>
  <c r="K10" i="10"/>
  <c r="L10" i="10"/>
  <c r="D10" i="10"/>
  <c r="H10" i="10"/>
  <c r="I10" i="10"/>
  <c r="G10" i="10"/>
  <c r="F10" i="10"/>
  <c r="E10" i="10"/>
  <c r="C10" i="10"/>
  <c r="B10" i="10"/>
  <c r="A9" i="10"/>
  <c r="K9" i="10"/>
  <c r="L9" i="10"/>
  <c r="D9" i="10"/>
  <c r="H9" i="10"/>
  <c r="I9" i="10"/>
  <c r="G9" i="10"/>
  <c r="F9" i="10"/>
  <c r="E9" i="10"/>
  <c r="C9" i="10"/>
  <c r="B9" i="10"/>
  <c r="A8" i="10"/>
  <c r="K8" i="10"/>
  <c r="L8" i="10"/>
  <c r="D8" i="10"/>
  <c r="H8" i="10"/>
  <c r="I8" i="10"/>
  <c r="G8" i="10"/>
  <c r="F8" i="10"/>
  <c r="G7" i="9"/>
  <c r="E8" i="10"/>
  <c r="C8" i="10"/>
  <c r="B8" i="10"/>
  <c r="A7" i="10"/>
  <c r="K7" i="10"/>
  <c r="L7" i="10"/>
  <c r="D7" i="10"/>
  <c r="H7" i="10"/>
  <c r="I7" i="10"/>
  <c r="G7" i="10"/>
  <c r="F7" i="10"/>
  <c r="E7" i="10"/>
  <c r="C7" i="10"/>
  <c r="B7" i="10"/>
  <c r="A6" i="10"/>
  <c r="K6" i="10"/>
  <c r="L6" i="10"/>
  <c r="D6" i="10"/>
  <c r="H6" i="10"/>
  <c r="I6" i="10"/>
  <c r="G6" i="10"/>
  <c r="F6" i="10"/>
  <c r="G9" i="9"/>
  <c r="E6" i="10"/>
  <c r="C6" i="10"/>
  <c r="B6" i="10"/>
  <c r="A5" i="10"/>
  <c r="K5" i="10"/>
  <c r="L5" i="10"/>
  <c r="D5" i="10"/>
  <c r="H5" i="10"/>
  <c r="I5" i="10"/>
  <c r="G5" i="10"/>
  <c r="F5" i="10"/>
  <c r="G5" i="9"/>
  <c r="E5" i="10"/>
  <c r="C5" i="10"/>
  <c r="B5" i="10"/>
  <c r="G60" i="9"/>
  <c r="D60" i="9"/>
  <c r="G59" i="9"/>
  <c r="D59" i="9"/>
  <c r="G58" i="9"/>
  <c r="D58" i="9"/>
  <c r="G57" i="9"/>
  <c r="D57" i="9"/>
  <c r="G56" i="9"/>
  <c r="D56" i="9"/>
  <c r="G55" i="9"/>
  <c r="D55" i="9"/>
  <c r="G54" i="9"/>
  <c r="D54" i="9"/>
  <c r="G53" i="9"/>
  <c r="D53" i="9"/>
  <c r="G52" i="9"/>
  <c r="D52" i="9"/>
  <c r="G51" i="9"/>
  <c r="D51" i="9"/>
  <c r="G50" i="9"/>
  <c r="D50" i="9"/>
  <c r="G49" i="9"/>
  <c r="D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D9" i="9"/>
  <c r="G8" i="9"/>
  <c r="D8" i="9"/>
  <c r="D7" i="9"/>
  <c r="G6" i="9"/>
  <c r="D6" i="9"/>
  <c r="D5" i="9"/>
  <c r="A26" i="7"/>
  <c r="D26" i="7"/>
  <c r="E26" i="7"/>
  <c r="F26" i="7"/>
  <c r="G26" i="7"/>
  <c r="C26" i="7"/>
  <c r="B26" i="7"/>
  <c r="A25" i="7"/>
  <c r="D25" i="7"/>
  <c r="E25" i="7"/>
  <c r="F25" i="7"/>
  <c r="G25" i="7"/>
  <c r="C25" i="7"/>
  <c r="B25" i="7"/>
  <c r="A24" i="7"/>
  <c r="D24" i="7"/>
  <c r="E24" i="7"/>
  <c r="F24" i="7"/>
  <c r="G24" i="7"/>
  <c r="C24" i="7"/>
  <c r="B24" i="7"/>
  <c r="A23" i="7"/>
  <c r="D23" i="7"/>
  <c r="E23" i="7"/>
  <c r="F23" i="7"/>
  <c r="G23" i="7"/>
  <c r="C23" i="7"/>
  <c r="B23" i="7"/>
  <c r="A22" i="7"/>
  <c r="D22" i="7"/>
  <c r="E22" i="7"/>
  <c r="F22" i="7"/>
  <c r="G22" i="7"/>
  <c r="C22" i="7"/>
  <c r="B22" i="7"/>
  <c r="A21" i="7"/>
  <c r="D21" i="7"/>
  <c r="E21" i="7"/>
  <c r="F21" i="7"/>
  <c r="G21" i="7"/>
  <c r="C21" i="7"/>
  <c r="B21" i="7"/>
  <c r="A20" i="7"/>
  <c r="D20" i="7"/>
  <c r="E20" i="7"/>
  <c r="F20" i="7"/>
  <c r="G20" i="7"/>
  <c r="C20" i="7"/>
  <c r="B20" i="7"/>
  <c r="A19" i="7"/>
  <c r="D19" i="7"/>
  <c r="E19" i="7"/>
  <c r="F19" i="7"/>
  <c r="G19" i="7"/>
  <c r="C19" i="7"/>
  <c r="B19" i="7"/>
  <c r="A18" i="7"/>
  <c r="D18" i="7"/>
  <c r="E18" i="7"/>
  <c r="F18" i="7"/>
  <c r="G18" i="7"/>
  <c r="C18" i="7"/>
  <c r="B18" i="7"/>
  <c r="A17" i="7"/>
  <c r="D17" i="7"/>
  <c r="E17" i="7"/>
  <c r="F17" i="7"/>
  <c r="G17" i="7"/>
  <c r="C17" i="7"/>
  <c r="B17" i="7"/>
  <c r="A16" i="7"/>
  <c r="D16" i="7"/>
  <c r="E16" i="7"/>
  <c r="F16" i="7"/>
  <c r="G16" i="7"/>
  <c r="C16" i="7"/>
  <c r="B16" i="7"/>
  <c r="A15" i="7"/>
  <c r="D15" i="7"/>
  <c r="E15" i="7"/>
  <c r="F15" i="7"/>
  <c r="G15" i="7"/>
  <c r="C15" i="7"/>
  <c r="B15" i="7"/>
  <c r="A14" i="7"/>
  <c r="D14" i="7"/>
  <c r="E14" i="7"/>
  <c r="F14" i="7"/>
  <c r="G14" i="7"/>
  <c r="C14" i="7"/>
  <c r="B14" i="7"/>
  <c r="A13" i="7"/>
  <c r="D13" i="7"/>
  <c r="E13" i="7"/>
  <c r="F13" i="7"/>
  <c r="G13" i="7"/>
  <c r="C13" i="7"/>
  <c r="B13" i="7"/>
  <c r="A12" i="7"/>
  <c r="D12" i="7"/>
  <c r="E12" i="7"/>
  <c r="F12" i="7"/>
  <c r="G12" i="7"/>
  <c r="C12" i="7"/>
  <c r="B12" i="7"/>
  <c r="A11" i="7"/>
  <c r="D11" i="7"/>
  <c r="E11" i="7"/>
  <c r="F11" i="7"/>
  <c r="G11" i="7"/>
  <c r="C11" i="7"/>
  <c r="B11" i="7"/>
  <c r="A10" i="7"/>
  <c r="D10" i="7"/>
  <c r="E10" i="7"/>
  <c r="F10" i="7"/>
  <c r="G10" i="7"/>
  <c r="C10" i="7"/>
  <c r="B10" i="7"/>
  <c r="A9" i="7"/>
  <c r="D9" i="7"/>
  <c r="E9" i="7"/>
  <c r="F9" i="7"/>
  <c r="G9" i="7"/>
  <c r="C9" i="7"/>
  <c r="B9" i="7"/>
  <c r="A8" i="7"/>
  <c r="D8" i="7"/>
  <c r="E8" i="7"/>
  <c r="F8" i="7"/>
  <c r="G8" i="7"/>
  <c r="C8" i="7"/>
  <c r="B8" i="7"/>
  <c r="A7" i="7"/>
  <c r="D7" i="7"/>
  <c r="E7" i="7"/>
  <c r="F7" i="7"/>
  <c r="G7" i="7"/>
  <c r="C7" i="7"/>
  <c r="B7" i="7"/>
  <c r="D4" i="7"/>
  <c r="A24" i="6"/>
  <c r="E24" i="6"/>
  <c r="F24" i="6"/>
  <c r="G24" i="6"/>
  <c r="H24" i="6"/>
  <c r="I24" i="6"/>
  <c r="J24" i="6"/>
  <c r="D24" i="6"/>
  <c r="C24" i="6"/>
  <c r="B24" i="6"/>
  <c r="A23" i="6"/>
  <c r="E23" i="6"/>
  <c r="F23" i="6"/>
  <c r="G23" i="6"/>
  <c r="H23" i="6"/>
  <c r="I23" i="6"/>
  <c r="J23" i="6"/>
  <c r="D23" i="6"/>
  <c r="C23" i="6"/>
  <c r="B23" i="6"/>
  <c r="A22" i="6"/>
  <c r="E22" i="6"/>
  <c r="F22" i="6"/>
  <c r="G22" i="6"/>
  <c r="H22" i="6"/>
  <c r="I22" i="6"/>
  <c r="J22" i="6"/>
  <c r="D22" i="6"/>
  <c r="C22" i="6"/>
  <c r="B22" i="6"/>
  <c r="A21" i="6"/>
  <c r="E21" i="6"/>
  <c r="F21" i="6"/>
  <c r="G21" i="6"/>
  <c r="H21" i="6"/>
  <c r="I21" i="6"/>
  <c r="J21" i="6"/>
  <c r="D21" i="6"/>
  <c r="C21" i="6"/>
  <c r="B21" i="6"/>
  <c r="A20" i="6"/>
  <c r="E20" i="6"/>
  <c r="F20" i="6"/>
  <c r="G20" i="6"/>
  <c r="H20" i="6"/>
  <c r="I20" i="6"/>
  <c r="J20" i="6"/>
  <c r="D20" i="6"/>
  <c r="C20" i="6"/>
  <c r="B20" i="6"/>
  <c r="A19" i="6"/>
  <c r="E19" i="6"/>
  <c r="F19" i="6"/>
  <c r="G19" i="6"/>
  <c r="H19" i="6"/>
  <c r="I19" i="6"/>
  <c r="J19" i="6"/>
  <c r="D19" i="6"/>
  <c r="C19" i="6"/>
  <c r="B19" i="6"/>
  <c r="A18" i="6"/>
  <c r="E18" i="6"/>
  <c r="F18" i="6"/>
  <c r="G18" i="6"/>
  <c r="H18" i="6"/>
  <c r="I18" i="6"/>
  <c r="J18" i="6"/>
  <c r="D18" i="6"/>
  <c r="C18" i="6"/>
  <c r="B18" i="6"/>
  <c r="A17" i="6"/>
  <c r="E17" i="6"/>
  <c r="F17" i="6"/>
  <c r="G17" i="6"/>
  <c r="H17" i="6"/>
  <c r="I17" i="6"/>
  <c r="J17" i="6"/>
  <c r="D17" i="6"/>
  <c r="C17" i="6"/>
  <c r="B17" i="6"/>
  <c r="A16" i="6"/>
  <c r="E16" i="6"/>
  <c r="F16" i="6"/>
  <c r="G16" i="6"/>
  <c r="H16" i="6"/>
  <c r="I16" i="6"/>
  <c r="J16" i="6"/>
  <c r="D16" i="6"/>
  <c r="C16" i="6"/>
  <c r="B16" i="6"/>
  <c r="A15" i="6"/>
  <c r="E15" i="6"/>
  <c r="F15" i="6"/>
  <c r="G15" i="6"/>
  <c r="H15" i="6"/>
  <c r="I15" i="6"/>
  <c r="J15" i="6"/>
  <c r="D15" i="6"/>
  <c r="C15" i="6"/>
  <c r="B15" i="6"/>
  <c r="A14" i="6"/>
  <c r="E14" i="6"/>
  <c r="F14" i="6"/>
  <c r="G14" i="6"/>
  <c r="H14" i="6"/>
  <c r="I14" i="6"/>
  <c r="J14" i="6"/>
  <c r="D14" i="6"/>
  <c r="C14" i="6"/>
  <c r="B14" i="6"/>
  <c r="A13" i="6"/>
  <c r="E13" i="6"/>
  <c r="F13" i="6"/>
  <c r="G13" i="6"/>
  <c r="H13" i="6"/>
  <c r="I13" i="6"/>
  <c r="J13" i="6"/>
  <c r="D13" i="6"/>
  <c r="C13" i="6"/>
  <c r="B13" i="6"/>
  <c r="A12" i="6"/>
  <c r="E12" i="6"/>
  <c r="F12" i="6"/>
  <c r="G12" i="6"/>
  <c r="H12" i="6"/>
  <c r="I12" i="6"/>
  <c r="J12" i="6"/>
  <c r="D12" i="6"/>
  <c r="C12" i="6"/>
  <c r="B12" i="6"/>
  <c r="A11" i="6"/>
  <c r="E11" i="6"/>
  <c r="F11" i="6"/>
  <c r="G11" i="6"/>
  <c r="H11" i="6"/>
  <c r="I11" i="6"/>
  <c r="J11" i="6"/>
  <c r="D11" i="6"/>
  <c r="C11" i="6"/>
  <c r="B11" i="6"/>
  <c r="A10" i="6"/>
  <c r="E10" i="6"/>
  <c r="F10" i="6"/>
  <c r="G10" i="6"/>
  <c r="H10" i="6"/>
  <c r="I10" i="6"/>
  <c r="J10" i="6"/>
  <c r="D10" i="6"/>
  <c r="C10" i="6"/>
  <c r="B10" i="6"/>
  <c r="A9" i="6"/>
  <c r="E9" i="6"/>
  <c r="F9" i="6"/>
  <c r="G9" i="6"/>
  <c r="H9" i="6"/>
  <c r="I9" i="6"/>
  <c r="J9" i="6"/>
  <c r="D9" i="6"/>
  <c r="C9" i="6"/>
  <c r="B9" i="6"/>
  <c r="A8" i="6"/>
  <c r="E8" i="6"/>
  <c r="F8" i="6"/>
  <c r="G8" i="6"/>
  <c r="H8" i="6"/>
  <c r="I8" i="6"/>
  <c r="J8" i="6"/>
  <c r="D8" i="6"/>
  <c r="C8" i="6"/>
  <c r="B8" i="6"/>
  <c r="A7" i="6"/>
  <c r="E7" i="6"/>
  <c r="F7" i="6"/>
  <c r="G7" i="6"/>
  <c r="H7" i="6"/>
  <c r="I7" i="6"/>
  <c r="J7" i="6"/>
  <c r="D7" i="6"/>
  <c r="C7" i="6"/>
  <c r="B7" i="6"/>
  <c r="A6" i="6"/>
  <c r="E6" i="6"/>
  <c r="F6" i="6"/>
  <c r="G6" i="6"/>
  <c r="H6" i="6"/>
  <c r="I6" i="6"/>
  <c r="J6" i="6"/>
  <c r="D6" i="6"/>
  <c r="C6" i="6"/>
  <c r="B6" i="6"/>
  <c r="A5" i="6"/>
  <c r="E5" i="6"/>
  <c r="F5" i="6"/>
  <c r="G5" i="6"/>
  <c r="H5" i="6"/>
  <c r="I5" i="6"/>
  <c r="J5" i="6"/>
  <c r="D5" i="6"/>
  <c r="C5" i="6"/>
  <c r="B5" i="6"/>
  <c r="H60" i="5"/>
  <c r="E60" i="5"/>
  <c r="D60" i="5"/>
  <c r="H59" i="5"/>
  <c r="E59" i="5"/>
  <c r="D59" i="5"/>
  <c r="H58" i="5"/>
  <c r="E58" i="5"/>
  <c r="D58" i="5"/>
  <c r="H57" i="5"/>
  <c r="E57" i="5"/>
  <c r="D57" i="5"/>
  <c r="H56" i="5"/>
  <c r="E56" i="5"/>
  <c r="D56" i="5"/>
  <c r="H55" i="5"/>
  <c r="E55" i="5"/>
  <c r="D55" i="5"/>
  <c r="H54" i="5"/>
  <c r="E54" i="5"/>
  <c r="D54" i="5"/>
  <c r="H53" i="5"/>
  <c r="E53" i="5"/>
  <c r="D53" i="5"/>
  <c r="H52" i="5"/>
  <c r="E52" i="5"/>
  <c r="D52" i="5"/>
  <c r="H51" i="5"/>
  <c r="E51" i="5"/>
  <c r="D51" i="5"/>
  <c r="H50" i="5"/>
  <c r="E50" i="5"/>
  <c r="D50" i="5"/>
  <c r="H49" i="5"/>
  <c r="E49" i="5"/>
  <c r="D49" i="5"/>
  <c r="H48" i="5"/>
  <c r="E48" i="5"/>
  <c r="D48" i="5"/>
  <c r="H47" i="5"/>
  <c r="E47" i="5"/>
  <c r="D47" i="5"/>
  <c r="H46" i="5"/>
  <c r="E46" i="5"/>
  <c r="D46" i="5"/>
  <c r="H45" i="5"/>
  <c r="E45" i="5"/>
  <c r="D45" i="5"/>
  <c r="H44" i="5"/>
  <c r="E44" i="5"/>
  <c r="D44" i="5"/>
  <c r="H43" i="5"/>
  <c r="E43" i="5"/>
  <c r="D43" i="5"/>
  <c r="H42" i="5"/>
  <c r="E42" i="5"/>
  <c r="D42" i="5"/>
  <c r="H41" i="5"/>
  <c r="E41" i="5"/>
  <c r="D41" i="5"/>
  <c r="H40" i="5"/>
  <c r="E40" i="5"/>
  <c r="D40" i="5"/>
  <c r="H39" i="5"/>
  <c r="E39" i="5"/>
  <c r="D39" i="5"/>
  <c r="H38" i="5"/>
  <c r="E38" i="5"/>
  <c r="D38" i="5"/>
  <c r="H37" i="5"/>
  <c r="E37" i="5"/>
  <c r="D37" i="5"/>
  <c r="H36" i="5"/>
  <c r="E36" i="5"/>
  <c r="D36" i="5"/>
  <c r="H35" i="5"/>
  <c r="E35" i="5"/>
  <c r="D35" i="5"/>
  <c r="H34" i="5"/>
  <c r="E34" i="5"/>
  <c r="D34" i="5"/>
  <c r="H33" i="5"/>
  <c r="E33" i="5"/>
  <c r="D33" i="5"/>
  <c r="H32" i="5"/>
  <c r="E32" i="5"/>
  <c r="D32" i="5"/>
  <c r="H31" i="5"/>
  <c r="E31" i="5"/>
  <c r="D31" i="5"/>
  <c r="H30" i="5"/>
  <c r="E30" i="5"/>
  <c r="D30" i="5"/>
  <c r="H29" i="5"/>
  <c r="E29" i="5"/>
  <c r="D29" i="5"/>
  <c r="H28" i="5"/>
  <c r="E28" i="5"/>
  <c r="D28" i="5"/>
  <c r="H27" i="5"/>
  <c r="E27" i="5"/>
  <c r="D27" i="5"/>
  <c r="H26" i="5"/>
  <c r="E26" i="5"/>
  <c r="D26" i="5"/>
  <c r="H25" i="5"/>
  <c r="E25" i="5"/>
  <c r="D25" i="5"/>
  <c r="H24" i="5"/>
  <c r="E24" i="5"/>
  <c r="D24" i="5"/>
  <c r="H23" i="5"/>
  <c r="E23" i="5"/>
  <c r="D23" i="5"/>
  <c r="H22" i="5"/>
  <c r="E22" i="5"/>
  <c r="D22" i="5"/>
  <c r="H21" i="5"/>
  <c r="E21" i="5"/>
  <c r="D21" i="5"/>
  <c r="H20" i="5"/>
  <c r="E20" i="5"/>
  <c r="D20" i="5"/>
  <c r="H19" i="5"/>
  <c r="E19" i="5"/>
  <c r="D19" i="5"/>
  <c r="H18" i="5"/>
  <c r="E18" i="5"/>
  <c r="D18" i="5"/>
  <c r="H17" i="5"/>
  <c r="E17" i="5"/>
  <c r="D17" i="5"/>
  <c r="H16" i="5"/>
  <c r="E16" i="5"/>
  <c r="D16" i="5"/>
  <c r="H15" i="5"/>
  <c r="E15" i="5"/>
  <c r="D15" i="5"/>
  <c r="H14" i="5"/>
  <c r="E14" i="5"/>
  <c r="D14" i="5"/>
  <c r="H13" i="5"/>
  <c r="E13" i="5"/>
  <c r="D13" i="5"/>
  <c r="H12" i="5"/>
  <c r="E12" i="5"/>
  <c r="D12" i="5"/>
  <c r="H11" i="5"/>
  <c r="E11" i="5"/>
  <c r="D11" i="5"/>
  <c r="H10" i="5"/>
  <c r="E10" i="5"/>
  <c r="D10" i="5"/>
  <c r="H9" i="5"/>
  <c r="E9" i="5"/>
  <c r="D9" i="5"/>
  <c r="H8" i="5"/>
  <c r="E8" i="5"/>
  <c r="D8" i="5"/>
  <c r="H7" i="5"/>
  <c r="E7" i="5"/>
  <c r="D7" i="5"/>
  <c r="H6" i="5"/>
  <c r="E6" i="5"/>
  <c r="D6" i="5"/>
  <c r="H5" i="5"/>
  <c r="E5" i="5"/>
  <c r="D5" i="5"/>
</calcChain>
</file>

<file path=xl/sharedStrings.xml><?xml version="1.0" encoding="utf-8"?>
<sst xmlns="http://schemas.openxmlformats.org/spreadsheetml/2006/main" count="570" uniqueCount="368">
  <si>
    <t>Sistema de Inventario de Materiales</t>
  </si>
  <si>
    <t>Proyectos Eléctricos y de Plomería</t>
  </si>
  <si>
    <t>¿Cómo funciona?</t>
  </si>
  <si>
    <t>1. Catálogo de Materiales</t>
  </si>
  <si>
    <t>Aquí defines cada material, su unidad de medida y su stock mínimo. Es la base de todo el sistema.</t>
  </si>
  <si>
    <t>2. Obras</t>
  </si>
  <si>
    <t>Lista de tus proyectos activos. Agrega una fila por cada obra nueva.</t>
  </si>
  <si>
    <t>3. Movimientos</t>
  </si>
  <si>
    <t>AQUÍ REGISTRAS TODO, día a día. Cada vez que compras material, lo mandas a una obra, se consume, o regresa a bodega, agregas una fila aquí. Todo lo demás se calcula solo.</t>
  </si>
  <si>
    <t>4. Inventario Bodega</t>
  </si>
  <si>
    <t>Se actualiza automáticamente. Te dice cuánto material tienes disponible en bodega central y te avisa si algo está por debajo del mínimo.</t>
  </si>
  <si>
    <t>5. Inventario por Obra</t>
  </si>
  <si>
    <t>Selecciona una obra en la celda amarilla y verás automáticamente cuánto material se le ha enviado, cuánto se ha consumido, y cuánto queda disponible en esa obra.</t>
  </si>
  <si>
    <t>Código de colores</t>
  </si>
  <si>
    <t>Celdas amarillas</t>
  </si>
  <si>
    <t>Aquí escribes tú (datos de entrada). No modifiques nada fuera de estas celdas.</t>
  </si>
  <si>
    <t>Celdas blancas</t>
  </si>
  <si>
    <t>Se calculan solas con fórmulas. No las edites directamente.</t>
  </si>
  <si>
    <t>Rojo en Inventario Bodega</t>
  </si>
  <si>
    <t>Material por debajo del stock mínimo — hay que reabastecer.</t>
  </si>
  <si>
    <t>Tipos de movimiento (columna F en Movimientos)</t>
  </si>
  <si>
    <t>Entrada a Bodega</t>
  </si>
  <si>
    <t>Cuando compras material y llega a tu bodega central.</t>
  </si>
  <si>
    <t>Salida a Obra</t>
  </si>
  <si>
    <t>Cuando mandas material de bodega a una obra específica.</t>
  </si>
  <si>
    <t>Consumo en Obra</t>
  </si>
  <si>
    <t>Cuando el material se instala/usa y ya no está disponible.</t>
  </si>
  <si>
    <t>Devolución a Bodega</t>
  </si>
  <si>
    <t>Cuando sobra material en una obra y regresa a bodega.</t>
  </si>
  <si>
    <t>Tip</t>
  </si>
  <si>
    <t>Usa siempre el mismo Código de Material (columna C) — ahí viene de un menú desplegable tomado del Catálogo, para evitar errores de escritura.</t>
  </si>
  <si>
    <t>Control de Herramientas</t>
  </si>
  <si>
    <t>6. Catálogo de Herramientas</t>
  </si>
  <si>
    <t>Lista de tus herramientas y equipo (escaleras, carretillas, rotomartillos, etc.) con código único por pieza.</t>
  </si>
  <si>
    <t>7. Asignaciones Herramientas</t>
  </si>
  <si>
    <t>Registras aquí cada vez que una herramienta sale a una obra, regresa a bodega, o va a mantenimiento.</t>
  </si>
  <si>
    <t>8. Ubicación Herramientas</t>
  </si>
  <si>
    <t>Se calcula sola tomando el ÚLTIMO movimiento de cada herramienta. Te dice dónde está cada una ahora mismo, y te marca en rojo si una herramienta lleva más tiempo en obra del que se esperaba (columna Alerta = RETRASADA).</t>
  </si>
  <si>
    <t>Cotizaciones</t>
  </si>
  <si>
    <t>9. Datos Empresa</t>
  </si>
  <si>
    <t>Llena esto UNA SOLA VEZ: nombre, RFC, dirección, condiciones de pago, garantía, IVA. El Cotizador toma estos datos automáticamente.</t>
  </si>
  <si>
    <t>10. Catálogo Precios Venta</t>
  </si>
  <si>
    <t>Tu lista de precios AL CLIENTE por unidad de trabajo instalado (material + mano de obra). Es distinto del Catálogo de Materiales, que es solo el costo del material.</t>
  </si>
  <si>
    <t>11. Cotizador</t>
  </si>
  <si>
    <t>La plantilla lista para imprimir/enviar. Llena datos del cliente, agrega conceptos por código, y el subtotal/IVA/total se calculan solos. Para una cotización nueva, copia esta pestaña (clic derecho &gt; Mover o copiar &gt; Crear una copia).</t>
  </si>
  <si>
    <t>12. Historial Cotizaciones</t>
  </si>
  <si>
    <t>Registra aquí el resumen de cada cotización enviada para dar seguimiento — cuáles están pendientes, aprobadas o rechazadas.</t>
  </si>
  <si>
    <t>Datos de la Empresa</t>
  </si>
  <si>
    <t>Llena estos datos una sola vez. El Cotizador los usa automaticamente.</t>
  </si>
  <si>
    <t>Nombre de la Empresa</t>
  </si>
  <si>
    <t>Instalaciones Electricas y Plomeria [Tu Empresa]</t>
  </si>
  <si>
    <t>RFC</t>
  </si>
  <si>
    <t>Direccion</t>
  </si>
  <si>
    <t>Ciudad, Estado</t>
  </si>
  <si>
    <t>Escobedo, Nuevo Leon</t>
  </si>
  <si>
    <t>Telefono</t>
  </si>
  <si>
    <t>Correo Electronico</t>
  </si>
  <si>
    <t>Sitio Web</t>
  </si>
  <si>
    <t>Tasa de IVA</t>
  </si>
  <si>
    <t>Dias de Validez de Cotizacion (default)</t>
  </si>
  <si>
    <t>Condiciones de Pago (default)</t>
  </si>
  <si>
    <t>50% anticipo, 50% contra entrega</t>
  </si>
  <si>
    <t>Tiempo de Entrega (default)</t>
  </si>
  <si>
    <t>A convenir segun alcance</t>
  </si>
  <si>
    <t>Garantia (default)</t>
  </si>
  <si>
    <t>90 dias en mano de obra</t>
  </si>
  <si>
    <t>Catálogo de Materiales</t>
  </si>
  <si>
    <t>Base de materiales, unidades y stock mínimo. Edita/agrega filas aquí.</t>
  </si>
  <si>
    <t>Código</t>
  </si>
  <si>
    <t>Material</t>
  </si>
  <si>
    <t>Categoría</t>
  </si>
  <si>
    <t>Unidad</t>
  </si>
  <si>
    <t>Costo Unitario Ref.</t>
  </si>
  <si>
    <t>Stock Mínimo</t>
  </si>
  <si>
    <t>MAT-001</t>
  </si>
  <si>
    <t>Tubería PVC 1/2"</t>
  </si>
  <si>
    <t>Plomería</t>
  </si>
  <si>
    <t>m</t>
  </si>
  <si>
    <t>MAT-002</t>
  </si>
  <si>
    <t>Tubería PVC 3/4"</t>
  </si>
  <si>
    <t>MAT-003</t>
  </si>
  <si>
    <t>Tubería Conduit EMT 1/2"</t>
  </si>
  <si>
    <t>Eléctrico</t>
  </si>
  <si>
    <t>MAT-004</t>
  </si>
  <si>
    <t>Cable THHW Cal. 12</t>
  </si>
  <si>
    <t>MAT-005</t>
  </si>
  <si>
    <t>Cable THHW Cal. 10</t>
  </si>
  <si>
    <t>MAT-006</t>
  </si>
  <si>
    <t>Contacto Duplex Estándar</t>
  </si>
  <si>
    <t>pza</t>
  </si>
  <si>
    <t>MAT-007</t>
  </si>
  <si>
    <t>Contacto GFCI</t>
  </si>
  <si>
    <t>MAT-008</t>
  </si>
  <si>
    <t>Apagador Sencillo</t>
  </si>
  <si>
    <t>MAT-009</t>
  </si>
  <si>
    <t>Luminaria LED Empotrable 6"</t>
  </si>
  <si>
    <t>MAT-010</t>
  </si>
  <si>
    <t>Luminaria LED Panel 2x2</t>
  </si>
  <si>
    <t>MAT-011</t>
  </si>
  <si>
    <t>Coples PVC 1/2"</t>
  </si>
  <si>
    <t>MAT-012</t>
  </si>
  <si>
    <t>Codo PVC 90° 1/2"</t>
  </si>
  <si>
    <t>MAT-013</t>
  </si>
  <si>
    <t>Válvula de Esfera 1/2"</t>
  </si>
  <si>
    <t>MAT-014</t>
  </si>
  <si>
    <t>Caja Registro Eléctrica 4x4</t>
  </si>
  <si>
    <t>MAT-015</t>
  </si>
  <si>
    <t>Cinta Aislante</t>
  </si>
  <si>
    <t>rollo</t>
  </si>
  <si>
    <t>MAT-016</t>
  </si>
  <si>
    <t>Pegamento PVC</t>
  </si>
  <si>
    <t>bote</t>
  </si>
  <si>
    <t>MAT-017</t>
  </si>
  <si>
    <t>Breaker Termomagnético 20A</t>
  </si>
  <si>
    <t>MAT-018</t>
  </si>
  <si>
    <t>Centro de Carga 12 Espacios</t>
  </si>
  <si>
    <t>MAT-019</t>
  </si>
  <si>
    <t>Coplex Cobre 4" (Drenaje)</t>
  </si>
  <si>
    <t>MAT-020</t>
  </si>
  <si>
    <t>Silicón Sanitario</t>
  </si>
  <si>
    <t>cartucho</t>
  </si>
  <si>
    <t>Obras / Proyectos</t>
  </si>
  <si>
    <t>Lista de proyectos activos. Agrega una fila por cada obra nueva.</t>
  </si>
  <si>
    <t>Código Obra</t>
  </si>
  <si>
    <t>Nombre de Obra</t>
  </si>
  <si>
    <t>Cliente</t>
  </si>
  <si>
    <t>Responsable</t>
  </si>
  <si>
    <t>Estado</t>
  </si>
  <si>
    <t>Fecha Inicio</t>
  </si>
  <si>
    <t>OBRA-001</t>
  </si>
  <si>
    <t>Edificio Corporativo Torre Norte</t>
  </si>
  <si>
    <t>Constructora ABC</t>
  </si>
  <si>
    <t>Ing. Ramírez</t>
  </si>
  <si>
    <t>Activa</t>
  </si>
  <si>
    <t>2026-02-01</t>
  </si>
  <si>
    <t>OBRA-002</t>
  </si>
  <si>
    <t>Plaza Comercial Los Pinos</t>
  </si>
  <si>
    <t>Grupo Inmobiliario XYZ</t>
  </si>
  <si>
    <t>Ing. Torres</t>
  </si>
  <si>
    <t>2026-04-15</t>
  </si>
  <si>
    <t>OBRA-003</t>
  </si>
  <si>
    <t>Fraccionamiento Las Palmas Etapa 2</t>
  </si>
  <si>
    <t>Desarrolladora Palmas</t>
  </si>
  <si>
    <t>Ing. Vega</t>
  </si>
  <si>
    <t>2026-05-10</t>
  </si>
  <si>
    <t>Movimientos de Material</t>
  </si>
  <si>
    <t>Registra aquí cada entrada, salida, consumo o devolución. Todo lo demás se calcula solo.</t>
  </si>
  <si>
    <t>ID</t>
  </si>
  <si>
    <t>Fecha</t>
  </si>
  <si>
    <t>Código
Material</t>
  </si>
  <si>
    <t>Tipo de Movimiento</t>
  </si>
  <si>
    <t>Código
Obra</t>
  </si>
  <si>
    <t>Cantidad</t>
  </si>
  <si>
    <t>Notas</t>
  </si>
  <si>
    <t>2026-06-02</t>
  </si>
  <si>
    <t>Juan Pérez</t>
  </si>
  <si>
    <t>Compra inicial a proveedor</t>
  </si>
  <si>
    <t>2026-06-03</t>
  </si>
  <si>
    <t>2026-06-05</t>
  </si>
  <si>
    <t>Carlos Ruiz</t>
  </si>
  <si>
    <t>Envío inicial plomería</t>
  </si>
  <si>
    <t>Envío inicial eléctrico</t>
  </si>
  <si>
    <t>2026-06-10</t>
  </si>
  <si>
    <t>Cuadrilla A</t>
  </si>
  <si>
    <t>Instalación primer piso</t>
  </si>
  <si>
    <t>2026-06-12</t>
  </si>
  <si>
    <t>Cuadrilla B</t>
  </si>
  <si>
    <t>Instalación baños</t>
  </si>
  <si>
    <t>2026-06-14</t>
  </si>
  <si>
    <t>Devolucion a Bodega</t>
  </si>
  <si>
    <t>Sobrante de tuberia</t>
  </si>
  <si>
    <t>2026-06-15</t>
  </si>
  <si>
    <t>Luminarias plaza comercial</t>
  </si>
  <si>
    <t>Inventario de Bodega Central</t>
  </si>
  <si>
    <t>Se calcula automaticamente a partir de la hoja Movimientos. No editar manualmente.</t>
  </si>
  <si>
    <t>Codigo</t>
  </si>
  <si>
    <t>Categoria</t>
  </si>
  <si>
    <t>Entradas a
Bodega</t>
  </si>
  <si>
    <t>Salidas a
Obra</t>
  </si>
  <si>
    <t>Devoluciones a
Bodega</t>
  </si>
  <si>
    <t>Stock
Actual</t>
  </si>
  <si>
    <t>Stock
Minimo</t>
  </si>
  <si>
    <t>Inventario por Obra</t>
  </si>
  <si>
    <t>Selecciona una obra en la celda amarilla (B4) y veras su inventario disponible.</t>
  </si>
  <si>
    <t>Selecciona Obra:</t>
  </si>
  <si>
    <t>Nombre:</t>
  </si>
  <si>
    <t>Enviado
a Obra</t>
  </si>
  <si>
    <t>Consumido
en Obra</t>
  </si>
  <si>
    <t>Devuelto a
Bodega</t>
  </si>
  <si>
    <t>Disponible
en Obra</t>
  </si>
  <si>
    <t>Catalogo de Herramientas y Equipo</t>
  </si>
  <si>
    <t>Cada herramienta con codigo unico. Edita/agrega filas aqui.</t>
  </si>
  <si>
    <t>Herramienta</t>
  </si>
  <si>
    <t>Marca / Modelo</t>
  </si>
  <si>
    <t>Valor Estimado</t>
  </si>
  <si>
    <t>Fecha
Adquisicion</t>
  </si>
  <si>
    <t>HER-001</t>
  </si>
  <si>
    <t>Escalera de Aluminio 8 pies</t>
  </si>
  <si>
    <t>Escalera</t>
  </si>
  <si>
    <t>Werner</t>
  </si>
  <si>
    <t>2023-03-10</t>
  </si>
  <si>
    <t>HER-002</t>
  </si>
  <si>
    <t>Escalera de Aluminio 12 pies</t>
  </si>
  <si>
    <t>HER-003</t>
  </si>
  <si>
    <t>Escalera de Tijera 6 pies</t>
  </si>
  <si>
    <t>Cuprum</t>
  </si>
  <si>
    <t>2024-01-15</t>
  </si>
  <si>
    <t>HER-004</t>
  </si>
  <si>
    <t>Carretilla de Obra</t>
  </si>
  <si>
    <t>Carretilla</t>
  </si>
  <si>
    <t>Truper</t>
  </si>
  <si>
    <t>2022-08-20</t>
  </si>
  <si>
    <t>HER-005</t>
  </si>
  <si>
    <t>HER-006</t>
  </si>
  <si>
    <t>Rotomartillo SDS Plus</t>
  </si>
  <si>
    <t>Herramienta Electrica</t>
  </si>
  <si>
    <t>Bosch GBH 2-26</t>
  </si>
  <si>
    <t>2023-06-05</t>
  </si>
  <si>
    <t>HER-007</t>
  </si>
  <si>
    <t>2023-11-01</t>
  </si>
  <si>
    <t>HER-008</t>
  </si>
  <si>
    <t>Taladro Percutor</t>
  </si>
  <si>
    <t>DeWalt DCD996</t>
  </si>
  <si>
    <t>HER-009</t>
  </si>
  <si>
    <t>Esmeriladora Angular</t>
  </si>
  <si>
    <t>Makita 9557</t>
  </si>
  <si>
    <t>2024-02-10</t>
  </si>
  <si>
    <t>HER-010</t>
  </si>
  <si>
    <t>Maquina Soldadora Inverter</t>
  </si>
  <si>
    <t>Soldadura</t>
  </si>
  <si>
    <t>Lincoln Electric</t>
  </si>
  <si>
    <t>2022-05-15</t>
  </si>
  <si>
    <t>HER-011</t>
  </si>
  <si>
    <t>Multimetro Digital</t>
  </si>
  <si>
    <t>Medicion</t>
  </si>
  <si>
    <t>Fluke 117</t>
  </si>
  <si>
    <t>2023-09-01</t>
  </si>
  <si>
    <t>HER-012</t>
  </si>
  <si>
    <t>Detector de Voltaje</t>
  </si>
  <si>
    <t>Klein Tools</t>
  </si>
  <si>
    <t>HER-013</t>
  </si>
  <si>
    <t>Compresor de Aire Portatil</t>
  </si>
  <si>
    <t>Equipo Neumatico</t>
  </si>
  <si>
    <t>Campbell Hausfeld</t>
  </si>
  <si>
    <t>2022-11-20</t>
  </si>
  <si>
    <t>Mantenimiento</t>
  </si>
  <si>
    <t>HER-014</t>
  </si>
  <si>
    <t>Cortadora de Tubo PVC</t>
  </si>
  <si>
    <t>Plomeria</t>
  </si>
  <si>
    <t>Rothenberger</t>
  </si>
  <si>
    <t>2023-04-12</t>
  </si>
  <si>
    <t>HER-015</t>
  </si>
  <si>
    <t>Nivel Laser</t>
  </si>
  <si>
    <t>Bosch GLL 3-80</t>
  </si>
  <si>
    <t>2024-03-08</t>
  </si>
  <si>
    <t>Asignaciones de Herramientas</t>
  </si>
  <si>
    <t>Registra aqui cada vez que una herramienta sale, regresa, o va a mantenimiento. Todo lo demas se calcula solo.</t>
  </si>
  <si>
    <t>Codigo
Herramienta</t>
  </si>
  <si>
    <t>Codigo
Obra</t>
  </si>
  <si>
    <t>Fecha Estimada
Regreso</t>
  </si>
  <si>
    <t>2026-06-01</t>
  </si>
  <si>
    <t>Asignacion a Obra</t>
  </si>
  <si>
    <t>2026-07-01</t>
  </si>
  <si>
    <t>Escalera para trabajos en altura</t>
  </si>
  <si>
    <t>Perforaciones muro de carga</t>
  </si>
  <si>
    <t>2026-06-30</t>
  </si>
  <si>
    <t>Traslado de material</t>
  </si>
  <si>
    <t>Envio a Mantenimiento</t>
  </si>
  <si>
    <t>Taller Externo</t>
  </si>
  <si>
    <t>Falla en compresor</t>
  </si>
  <si>
    <t>2026-07-20</t>
  </si>
  <si>
    <t>2026-06-20</t>
  </si>
  <si>
    <t>Regreso a Bodega</t>
  </si>
  <si>
    <t>Trabajo terminado en OBRA-001</t>
  </si>
  <si>
    <t>Ubicacion Actual de Herramientas</t>
  </si>
  <si>
    <t>Se calcula automaticamente tomando el ultimo movimiento de cada herramienta. No editar manualmente.</t>
  </si>
  <si>
    <t>Obra Actual
/ Ubicacion</t>
  </si>
  <si>
    <t>Responsable
Actual</t>
  </si>
  <si>
    <t>Fecha Ultimo
Movimiento</t>
  </si>
  <si>
    <t>Alerta</t>
  </si>
  <si>
    <t>Catalogo de Precios de Venta</t>
  </si>
  <si>
    <t>Precio por unidad de trabajo instalado (incluye material + mano de obra). Esta es tu lista de cobro al cliente.</t>
  </si>
  <si>
    <t>Concepto</t>
  </si>
  <si>
    <t>Precio Unitario
Venta</t>
  </si>
  <si>
    <t>PV-001</t>
  </si>
  <si>
    <t>Tuberia PVC 1/2" Instalada</t>
  </si>
  <si>
    <t>PV-002</t>
  </si>
  <si>
    <t>Tuberia PVC 3/4" Instalada</t>
  </si>
  <si>
    <t>PV-003</t>
  </si>
  <si>
    <t>Tuberia Conduit EMT 1/2" Instalada</t>
  </si>
  <si>
    <t>Electrico</t>
  </si>
  <si>
    <t>PV-004</t>
  </si>
  <si>
    <t>Circuito Cal. 12 Instalado (m)</t>
  </si>
  <si>
    <t>PV-005</t>
  </si>
  <si>
    <t>Circuito Cal. 10 Instalado (m)</t>
  </si>
  <si>
    <t>PV-006</t>
  </si>
  <si>
    <t>Contacto Duplex Puesto</t>
  </si>
  <si>
    <t>PV-007</t>
  </si>
  <si>
    <t>Contacto GFCI Puesto</t>
  </si>
  <si>
    <t>PV-008</t>
  </si>
  <si>
    <t>Apagador Sencillo Puesto</t>
  </si>
  <si>
    <t>PV-009</t>
  </si>
  <si>
    <t>Luminaria LED Empotrable 6" Instalada</t>
  </si>
  <si>
    <t>PV-010</t>
  </si>
  <si>
    <t>Luminaria LED Panel 2x2 Instalada</t>
  </si>
  <si>
    <t>PV-011</t>
  </si>
  <si>
    <t>Valvula de Esfera 1/2" Instalada</t>
  </si>
  <si>
    <t>PV-012</t>
  </si>
  <si>
    <t>Caja Registro Electrica Puesta</t>
  </si>
  <si>
    <t>PV-013</t>
  </si>
  <si>
    <t>Breaker Termomagnetico 20A Instalado</t>
  </si>
  <si>
    <t>PV-014</t>
  </si>
  <si>
    <t>Centro de Carga 12 Espacios Instalado</t>
  </si>
  <si>
    <t>PV-015</t>
  </si>
  <si>
    <t>Coplex Drenaje 4" Instalado</t>
  </si>
  <si>
    <t>PV-016</t>
  </si>
  <si>
    <t>Salida Sanitaria Completa (WC)</t>
  </si>
  <si>
    <t>salida</t>
  </si>
  <si>
    <t>PV-017</t>
  </si>
  <si>
    <t>Salida Hidraulica Completa (Lavabo)</t>
  </si>
  <si>
    <t>PV-018</t>
  </si>
  <si>
    <t>Hora de Mano de Obra Especializada</t>
  </si>
  <si>
    <t>hr</t>
  </si>
  <si>
    <t>Mano de Obra</t>
  </si>
  <si>
    <t>PV-019</t>
  </si>
  <si>
    <t>Visita / Diagnostico Tecnico</t>
  </si>
  <si>
    <t>visita</t>
  </si>
  <si>
    <t>Servicio</t>
  </si>
  <si>
    <t>PV-020</t>
  </si>
  <si>
    <t>Proyecto Ejecutivo / Plano Electrico</t>
  </si>
  <si>
    <t>proyecto</t>
  </si>
  <si>
    <t>COTIZACION</t>
  </si>
  <si>
    <t>No. Cotizacion:</t>
  </si>
  <si>
    <t>COT-2026-001</t>
  </si>
  <si>
    <t>Fecha:</t>
  </si>
  <si>
    <t>Valida hasta:</t>
  </si>
  <si>
    <t>DATOS DEL CLIENTE</t>
  </si>
  <si>
    <t>Cliente / Empresa:</t>
  </si>
  <si>
    <t>Telefono:</t>
  </si>
  <si>
    <t>Atencion a:</t>
  </si>
  <si>
    <t>Correo:</t>
  </si>
  <si>
    <t>Proyecto / Obra:</t>
  </si>
  <si>
    <t>Ubicacion:</t>
  </si>
  <si>
    <t>CONCEPTOS</t>
  </si>
  <si>
    <t>Precio Catalogo
(referencia)</t>
  </si>
  <si>
    <t>Precio Unitario
Cotizado</t>
  </si>
  <si>
    <t>Importe</t>
  </si>
  <si>
    <t>Condiciones: ver notas abajo</t>
  </si>
  <si>
    <t>Subtotal:</t>
  </si>
  <si>
    <t>IVA:</t>
  </si>
  <si>
    <t>TOTAL:</t>
  </si>
  <si>
    <t>CONDICIONES</t>
  </si>
  <si>
    <t>Forma de pago:</t>
  </si>
  <si>
    <t>Tiempo de entrega:</t>
  </si>
  <si>
    <t>Garantia:</t>
  </si>
  <si>
    <t>Validez de esta cotizacion:</t>
  </si>
  <si>
    <t>Tip: para una cotizacion nueva, haz clic derecho en esta pestana &gt; Mover o copiar &gt; Crear una copia, y registra el resumen en 'Historial Cotizaciones'.</t>
  </si>
  <si>
    <t>Historial de Cotizaciones</t>
  </si>
  <si>
    <t>Registra aqui un resumen de cada cotizacion que envies, para dar seguimiento a tu pipeline de ventas.</t>
  </si>
  <si>
    <t>No. Cotizacion</t>
  </si>
  <si>
    <t>Proyecto / Obra</t>
  </si>
  <si>
    <t>Subtotal</t>
  </si>
  <si>
    <t>Total</t>
  </si>
  <si>
    <t>Aprobada</t>
  </si>
  <si>
    <t>Primera etapa electrica</t>
  </si>
  <si>
    <t>COT-2026-002</t>
  </si>
  <si>
    <t>Pendiente</t>
  </si>
  <si>
    <t>Esperando confirmacion de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</si>
</sst>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\-mm\-dd"/>
    <numFmt numFmtId="166" formatCode="\$#,##0"/>
  </numFmts>
  <fonts count="2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sz val="11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11"/>
      <name val="Arial"/>
      <charset val="1"/>
    </font>
    <font>
      <b/>
      <sz val="18"/>
      <color rgb="FF1F4E78"/>
      <name val="Arial"/>
      <charset val="1"/>
    </font>
    <font>
      <sz val="9"/>
      <color rgb="FF595959"/>
      <name val="Arial"/>
      <charset val="1"/>
    </font>
    <font>
      <b/>
      <sz val="9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b/>
      <sz val="12"/>
      <color rgb="FF1F4E78"/>
      <name val="Arial"/>
      <charset val="1"/>
    </font>
    <font>
      <b/>
      <sz val="13"/>
      <color rgb="FF1F4E78"/>
      <name val="Arial"/>
      <charset val="1"/>
    </font>
    <font>
      <sz val="9"/>
      <name val="Arial"/>
      <charset val="1"/>
    </font>
    <font>
      <i/>
      <sz val="8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0" fillId="0" borderId="0" xfId="0" applyFont="1" applyBorder="1"/>
    <xf numFmtId="0" fontId="19" fillId="0" borderId="0" xfId="0" applyFont="1" applyBorder="1" applyAlignment="1">
      <alignment horizontal="left"/>
    </xf>
    <xf numFmtId="0" fontId="16" fillId="0" borderId="0" xfId="0" applyFont="1" applyBorder="1"/>
    <xf numFmtId="0" fontId="7" fillId="2" borderId="2" xfId="0" applyFont="1" applyFill="1" applyBorder="1" applyAlignment="1">
      <alignment horizontal="left" vertical="center" indent="1"/>
    </xf>
    <xf numFmtId="0" fontId="15" fillId="3" borderId="0" xfId="0" applyFont="1" applyFill="1" applyBorder="1" applyAlignment="1">
      <alignment horizontal="left" vertical="center" indent="1"/>
    </xf>
    <xf numFmtId="165" fontId="10" fillId="0" borderId="1" xfId="0" applyNumberFormat="1" applyFont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0" borderId="0" xfId="0" applyFont="1" applyBorder="1"/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0" fontId="11" fillId="0" borderId="0" xfId="0" applyFont="1" applyBorder="1" applyAlignment="1">
      <alignment horizontal="left"/>
    </xf>
    <xf numFmtId="0" fontId="2" fillId="0" borderId="0" xfId="0" applyFont="1" applyBorder="1"/>
    <xf numFmtId="0" fontId="8" fillId="0" borderId="0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left" vertical="center"/>
    </xf>
    <xf numFmtId="9" fontId="7" fillId="2" borderId="1" xfId="0" applyNumberFormat="1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6" fontId="7" fillId="2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4" fillId="0" borderId="0" xfId="0" applyFont="1" applyAlignment="1">
      <alignment horizontal="right"/>
    </xf>
    <xf numFmtId="0" fontId="14" fillId="0" borderId="0" xfId="0" applyFont="1"/>
    <xf numFmtId="164" fontId="10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64" fontId="1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E69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showGridLines="0" tabSelected="1" zoomScaleNormal="100" workbookViewId="0"/>
  </sheetViews>
  <sheetFormatPr defaultColWidth="8.7421875" defaultRowHeight="15" x14ac:dyDescent="0.2"/>
  <cols>
    <col min="1" max="1" width="37.93359375" customWidth="1"/>
    <col min="2" max="2" width="99.94921875" customWidth="1"/>
  </cols>
  <sheetData>
    <row r="1" spans="1:2" ht="20.25" x14ac:dyDescent="0.25">
      <c r="A1" s="15" t="s">
        <v>0</v>
      </c>
    </row>
    <row r="2" spans="1:2" x14ac:dyDescent="0.2">
      <c r="A2" s="16" t="s">
        <v>1</v>
      </c>
    </row>
    <row r="4" spans="1:2" ht="18" customHeight="1" x14ac:dyDescent="0.2">
      <c r="A4" s="17"/>
      <c r="B4" s="18"/>
    </row>
    <row r="5" spans="1:2" ht="18" customHeight="1" x14ac:dyDescent="0.2">
      <c r="A5" s="19" t="s">
        <v>2</v>
      </c>
      <c r="B5" s="18"/>
    </row>
    <row r="6" spans="1:2" ht="30" customHeight="1" x14ac:dyDescent="0.2">
      <c r="A6" s="17" t="s">
        <v>3</v>
      </c>
      <c r="B6" s="18" t="s">
        <v>4</v>
      </c>
    </row>
    <row r="7" spans="1:2" ht="30" customHeight="1" x14ac:dyDescent="0.2">
      <c r="A7" s="17" t="s">
        <v>5</v>
      </c>
      <c r="B7" s="18" t="s">
        <v>6</v>
      </c>
    </row>
    <row r="8" spans="1:2" ht="30" customHeight="1" x14ac:dyDescent="0.2">
      <c r="A8" s="17" t="s">
        <v>7</v>
      </c>
      <c r="B8" s="18" t="s">
        <v>8</v>
      </c>
    </row>
    <row r="9" spans="1:2" ht="30" customHeight="1" x14ac:dyDescent="0.2">
      <c r="A9" s="17" t="s">
        <v>9</v>
      </c>
      <c r="B9" s="18" t="s">
        <v>10</v>
      </c>
    </row>
    <row r="10" spans="1:2" ht="30" customHeight="1" x14ac:dyDescent="0.2">
      <c r="A10" s="17" t="s">
        <v>11</v>
      </c>
      <c r="B10" s="18" t="s">
        <v>12</v>
      </c>
    </row>
    <row r="11" spans="1:2" ht="18" customHeight="1" x14ac:dyDescent="0.2">
      <c r="A11" s="17"/>
      <c r="B11" s="18"/>
    </row>
    <row r="12" spans="1:2" ht="18" customHeight="1" x14ac:dyDescent="0.2">
      <c r="A12" s="19" t="s">
        <v>13</v>
      </c>
      <c r="B12" s="18"/>
    </row>
    <row r="13" spans="1:2" ht="30" customHeight="1" x14ac:dyDescent="0.2">
      <c r="A13" s="17" t="s">
        <v>14</v>
      </c>
      <c r="B13" s="18" t="s">
        <v>15</v>
      </c>
    </row>
    <row r="14" spans="1:2" ht="30" customHeight="1" x14ac:dyDescent="0.2">
      <c r="A14" s="17" t="s">
        <v>16</v>
      </c>
      <c r="B14" s="18" t="s">
        <v>17</v>
      </c>
    </row>
    <row r="15" spans="1:2" ht="30" customHeight="1" x14ac:dyDescent="0.2">
      <c r="A15" s="17" t="s">
        <v>18</v>
      </c>
      <c r="B15" s="18" t="s">
        <v>19</v>
      </c>
    </row>
    <row r="16" spans="1:2" ht="18" customHeight="1" x14ac:dyDescent="0.2">
      <c r="A16" s="17"/>
      <c r="B16" s="18"/>
    </row>
    <row r="17" spans="1:2" ht="18" customHeight="1" x14ac:dyDescent="0.2">
      <c r="A17" s="19" t="s">
        <v>20</v>
      </c>
      <c r="B17" s="18"/>
    </row>
    <row r="18" spans="1:2" ht="30" customHeight="1" x14ac:dyDescent="0.2">
      <c r="A18" s="17" t="s">
        <v>21</v>
      </c>
      <c r="B18" s="18" t="s">
        <v>22</v>
      </c>
    </row>
    <row r="19" spans="1:2" ht="30" customHeight="1" x14ac:dyDescent="0.2">
      <c r="A19" s="17" t="s">
        <v>23</v>
      </c>
      <c r="B19" s="18" t="s">
        <v>24</v>
      </c>
    </row>
    <row r="20" spans="1:2" ht="30" customHeight="1" x14ac:dyDescent="0.2">
      <c r="A20" s="17" t="s">
        <v>25</v>
      </c>
      <c r="B20" s="18" t="s">
        <v>26</v>
      </c>
    </row>
    <row r="21" spans="1:2" ht="30" customHeight="1" x14ac:dyDescent="0.2">
      <c r="A21" s="17" t="s">
        <v>27</v>
      </c>
      <c r="B21" s="18" t="s">
        <v>28</v>
      </c>
    </row>
    <row r="22" spans="1:2" ht="18" customHeight="1" x14ac:dyDescent="0.2">
      <c r="A22" s="17"/>
      <c r="B22" s="18"/>
    </row>
    <row r="23" spans="1:2" ht="30" customHeight="1" x14ac:dyDescent="0.2">
      <c r="A23" s="17" t="s">
        <v>29</v>
      </c>
      <c r="B23" s="18" t="s">
        <v>30</v>
      </c>
    </row>
    <row r="24" spans="1:2" ht="18" customHeight="1" x14ac:dyDescent="0.2">
      <c r="A24" s="17"/>
      <c r="B24" s="18"/>
    </row>
    <row r="25" spans="1:2" ht="18" customHeight="1" x14ac:dyDescent="0.2">
      <c r="A25" s="19" t="s">
        <v>31</v>
      </c>
      <c r="B25" s="18"/>
    </row>
    <row r="26" spans="1:2" ht="30" customHeight="1" x14ac:dyDescent="0.2">
      <c r="A26" s="17" t="s">
        <v>32</v>
      </c>
      <c r="B26" s="18" t="s">
        <v>33</v>
      </c>
    </row>
    <row r="27" spans="1:2" ht="30" customHeight="1" x14ac:dyDescent="0.2">
      <c r="A27" s="17" t="s">
        <v>34</v>
      </c>
      <c r="B27" s="18" t="s">
        <v>35</v>
      </c>
    </row>
    <row r="28" spans="1:2" ht="30" customHeight="1" x14ac:dyDescent="0.2">
      <c r="A28" s="17" t="s">
        <v>36</v>
      </c>
      <c r="B28" s="18" t="s">
        <v>37</v>
      </c>
    </row>
    <row r="29" spans="1:2" ht="18" customHeight="1" x14ac:dyDescent="0.2">
      <c r="A29" s="17"/>
      <c r="B29" s="18"/>
    </row>
    <row r="30" spans="1:2" ht="18" customHeight="1" x14ac:dyDescent="0.2">
      <c r="A30" s="19" t="s">
        <v>38</v>
      </c>
      <c r="B30" s="18"/>
    </row>
    <row r="31" spans="1:2" ht="30" customHeight="1" x14ac:dyDescent="0.2">
      <c r="A31" s="17" t="s">
        <v>39</v>
      </c>
      <c r="B31" s="18" t="s">
        <v>40</v>
      </c>
    </row>
    <row r="32" spans="1:2" ht="30" customHeight="1" x14ac:dyDescent="0.2">
      <c r="A32" s="17" t="s">
        <v>41</v>
      </c>
      <c r="B32" s="18" t="s">
        <v>42</v>
      </c>
    </row>
    <row r="33" spans="1:2" ht="30" customHeight="1" x14ac:dyDescent="0.2">
      <c r="A33" s="17" t="s">
        <v>43</v>
      </c>
      <c r="B33" s="18" t="s">
        <v>44</v>
      </c>
    </row>
    <row r="34" spans="1:2" ht="30" customHeight="1" x14ac:dyDescent="0.2">
      <c r="A34" s="17" t="s">
        <v>45</v>
      </c>
      <c r="B34" s="18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zoomScaleNormal="100" workbookViewId="0"/>
  </sheetViews>
  <sheetFormatPr defaultColWidth="8.7421875" defaultRowHeight="15" x14ac:dyDescent="0.2"/>
  <cols>
    <col min="1" max="1" width="25.9609375" customWidth="1"/>
    <col min="2" max="2" width="59.99609375" customWidth="1"/>
  </cols>
  <sheetData>
    <row r="1" spans="1:2" ht="20.25" x14ac:dyDescent="0.25">
      <c r="A1" s="15" t="s">
        <v>47</v>
      </c>
    </row>
    <row r="2" spans="1:2" x14ac:dyDescent="0.2">
      <c r="A2" s="16" t="s">
        <v>48</v>
      </c>
    </row>
    <row r="4" spans="1:2" x14ac:dyDescent="0.2">
      <c r="A4" s="20" t="s">
        <v>49</v>
      </c>
      <c r="B4" s="21" t="s">
        <v>50</v>
      </c>
    </row>
    <row r="5" spans="1:2" x14ac:dyDescent="0.2">
      <c r="A5" s="20" t="s">
        <v>51</v>
      </c>
      <c r="B5" s="21"/>
    </row>
    <row r="6" spans="1:2" x14ac:dyDescent="0.2">
      <c r="A6" s="20" t="s">
        <v>52</v>
      </c>
      <c r="B6" s="21"/>
    </row>
    <row r="7" spans="1:2" x14ac:dyDescent="0.2">
      <c r="A7" s="20" t="s">
        <v>53</v>
      </c>
      <c r="B7" s="21" t="s">
        <v>54</v>
      </c>
    </row>
    <row r="8" spans="1:2" x14ac:dyDescent="0.2">
      <c r="A8" s="20" t="s">
        <v>55</v>
      </c>
      <c r="B8" s="21"/>
    </row>
    <row r="9" spans="1:2" x14ac:dyDescent="0.2">
      <c r="A9" s="20" t="s">
        <v>56</v>
      </c>
      <c r="B9" s="21"/>
    </row>
    <row r="10" spans="1:2" x14ac:dyDescent="0.2">
      <c r="A10" s="20" t="s">
        <v>57</v>
      </c>
      <c r="B10" s="21"/>
    </row>
    <row r="11" spans="1:2" x14ac:dyDescent="0.2">
      <c r="A11" s="20" t="s">
        <v>58</v>
      </c>
      <c r="B11" s="22">
        <v>0.16</v>
      </c>
    </row>
    <row r="12" spans="1:2" x14ac:dyDescent="0.2">
      <c r="A12" s="20" t="s">
        <v>59</v>
      </c>
      <c r="B12" s="23">
        <v>15</v>
      </c>
    </row>
    <row r="13" spans="1:2" x14ac:dyDescent="0.2">
      <c r="A13" s="20" t="s">
        <v>60</v>
      </c>
      <c r="B13" s="21" t="s">
        <v>61</v>
      </c>
    </row>
    <row r="14" spans="1:2" x14ac:dyDescent="0.2">
      <c r="A14" s="20" t="s">
        <v>62</v>
      </c>
      <c r="B14" s="21" t="s">
        <v>63</v>
      </c>
    </row>
    <row r="15" spans="1:2" x14ac:dyDescent="0.2">
      <c r="A15" s="20" t="s">
        <v>64</v>
      </c>
      <c r="B15" s="21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37.93359375" customWidth="1"/>
    <col min="3" max="3" width="20.04296875" customWidth="1"/>
    <col min="4" max="4" width="11.97265625" customWidth="1"/>
    <col min="5" max="5" width="16.0078125" customWidth="1"/>
    <col min="6" max="6" width="13.98828125" customWidth="1"/>
  </cols>
  <sheetData>
    <row r="1" spans="1:6" ht="21.75" customHeight="1" x14ac:dyDescent="0.2">
      <c r="A1" s="14" t="s">
        <v>66</v>
      </c>
      <c r="B1" s="14"/>
      <c r="C1" s="14"/>
      <c r="D1" s="14"/>
      <c r="E1" s="14"/>
      <c r="F1" s="14"/>
    </row>
    <row r="2" spans="1:6" ht="15.75" customHeight="1" x14ac:dyDescent="0.2">
      <c r="A2" s="13" t="s">
        <v>67</v>
      </c>
      <c r="B2" s="13"/>
      <c r="C2" s="13"/>
      <c r="D2" s="13"/>
      <c r="E2" s="13"/>
      <c r="F2" s="13"/>
    </row>
    <row r="4" spans="1:6" ht="24.75" x14ac:dyDescent="0.2">
      <c r="A4" s="24" t="s">
        <v>68</v>
      </c>
      <c r="B4" s="24" t="s">
        <v>69</v>
      </c>
      <c r="C4" s="24" t="s">
        <v>70</v>
      </c>
      <c r="D4" s="24" t="s">
        <v>71</v>
      </c>
      <c r="E4" s="24" t="s">
        <v>72</v>
      </c>
      <c r="F4" s="24" t="s">
        <v>73</v>
      </c>
    </row>
    <row r="5" spans="1:6" x14ac:dyDescent="0.2">
      <c r="A5" s="21" t="s">
        <v>74</v>
      </c>
      <c r="B5" s="21" t="s">
        <v>75</v>
      </c>
      <c r="C5" s="21" t="s">
        <v>76</v>
      </c>
      <c r="D5" s="25" t="s">
        <v>77</v>
      </c>
      <c r="E5" s="26">
        <v>18.5</v>
      </c>
      <c r="F5" s="27">
        <v>200</v>
      </c>
    </row>
    <row r="6" spans="1:6" x14ac:dyDescent="0.2">
      <c r="A6" s="21" t="s">
        <v>78</v>
      </c>
      <c r="B6" s="21" t="s">
        <v>79</v>
      </c>
      <c r="C6" s="21" t="s">
        <v>76</v>
      </c>
      <c r="D6" s="25" t="s">
        <v>77</v>
      </c>
      <c r="E6" s="26">
        <v>24</v>
      </c>
      <c r="F6" s="27">
        <v>150</v>
      </c>
    </row>
    <row r="7" spans="1:6" x14ac:dyDescent="0.2">
      <c r="A7" s="21" t="s">
        <v>80</v>
      </c>
      <c r="B7" s="21" t="s">
        <v>81</v>
      </c>
      <c r="C7" s="21" t="s">
        <v>82</v>
      </c>
      <c r="D7" s="25" t="s">
        <v>77</v>
      </c>
      <c r="E7" s="26">
        <v>22</v>
      </c>
      <c r="F7" s="27">
        <v>200</v>
      </c>
    </row>
    <row r="8" spans="1:6" x14ac:dyDescent="0.2">
      <c r="A8" s="21" t="s">
        <v>83</v>
      </c>
      <c r="B8" s="21" t="s">
        <v>84</v>
      </c>
      <c r="C8" s="21" t="s">
        <v>82</v>
      </c>
      <c r="D8" s="25" t="s">
        <v>77</v>
      </c>
      <c r="E8" s="26">
        <v>8.5</v>
      </c>
      <c r="F8" s="27">
        <v>500</v>
      </c>
    </row>
    <row r="9" spans="1:6" x14ac:dyDescent="0.2">
      <c r="A9" s="21" t="s">
        <v>85</v>
      </c>
      <c r="B9" s="21" t="s">
        <v>86</v>
      </c>
      <c r="C9" s="21" t="s">
        <v>82</v>
      </c>
      <c r="D9" s="25" t="s">
        <v>77</v>
      </c>
      <c r="E9" s="26">
        <v>12</v>
      </c>
      <c r="F9" s="27">
        <v>300</v>
      </c>
    </row>
    <row r="10" spans="1:6" x14ac:dyDescent="0.2">
      <c r="A10" s="21" t="s">
        <v>87</v>
      </c>
      <c r="B10" s="21" t="s">
        <v>88</v>
      </c>
      <c r="C10" s="21" t="s">
        <v>82</v>
      </c>
      <c r="D10" s="25" t="s">
        <v>89</v>
      </c>
      <c r="E10" s="26">
        <v>35</v>
      </c>
      <c r="F10" s="27">
        <v>100</v>
      </c>
    </row>
    <row r="11" spans="1:6" x14ac:dyDescent="0.2">
      <c r="A11" s="21" t="s">
        <v>90</v>
      </c>
      <c r="B11" s="21" t="s">
        <v>91</v>
      </c>
      <c r="C11" s="21" t="s">
        <v>82</v>
      </c>
      <c r="D11" s="25" t="s">
        <v>89</v>
      </c>
      <c r="E11" s="26">
        <v>180</v>
      </c>
      <c r="F11" s="27">
        <v>40</v>
      </c>
    </row>
    <row r="12" spans="1:6" x14ac:dyDescent="0.2">
      <c r="A12" s="21" t="s">
        <v>92</v>
      </c>
      <c r="B12" s="21" t="s">
        <v>93</v>
      </c>
      <c r="C12" s="21" t="s">
        <v>82</v>
      </c>
      <c r="D12" s="25" t="s">
        <v>89</v>
      </c>
      <c r="E12" s="26">
        <v>30</v>
      </c>
      <c r="F12" s="27">
        <v>80</v>
      </c>
    </row>
    <row r="13" spans="1:6" x14ac:dyDescent="0.2">
      <c r="A13" s="21" t="s">
        <v>94</v>
      </c>
      <c r="B13" s="21" t="s">
        <v>95</v>
      </c>
      <c r="C13" s="21" t="s">
        <v>82</v>
      </c>
      <c r="D13" s="25" t="s">
        <v>89</v>
      </c>
      <c r="E13" s="26">
        <v>220</v>
      </c>
      <c r="F13" s="27">
        <v>60</v>
      </c>
    </row>
    <row r="14" spans="1:6" x14ac:dyDescent="0.2">
      <c r="A14" s="21" t="s">
        <v>96</v>
      </c>
      <c r="B14" s="21" t="s">
        <v>97</v>
      </c>
      <c r="C14" s="21" t="s">
        <v>82</v>
      </c>
      <c r="D14" s="25" t="s">
        <v>89</v>
      </c>
      <c r="E14" s="26">
        <v>450</v>
      </c>
      <c r="F14" s="27">
        <v>30</v>
      </c>
    </row>
    <row r="15" spans="1:6" x14ac:dyDescent="0.2">
      <c r="A15" s="21" t="s">
        <v>98</v>
      </c>
      <c r="B15" s="21" t="s">
        <v>99</v>
      </c>
      <c r="C15" s="21" t="s">
        <v>76</v>
      </c>
      <c r="D15" s="25" t="s">
        <v>89</v>
      </c>
      <c r="E15" s="26">
        <v>4.5</v>
      </c>
      <c r="F15" s="27">
        <v>300</v>
      </c>
    </row>
    <row r="16" spans="1:6" x14ac:dyDescent="0.2">
      <c r="A16" s="21" t="s">
        <v>100</v>
      </c>
      <c r="B16" s="21" t="s">
        <v>101</v>
      </c>
      <c r="C16" s="21" t="s">
        <v>76</v>
      </c>
      <c r="D16" s="25" t="s">
        <v>89</v>
      </c>
      <c r="E16" s="26">
        <v>6</v>
      </c>
      <c r="F16" s="27">
        <v>250</v>
      </c>
    </row>
    <row r="17" spans="1:6" x14ac:dyDescent="0.2">
      <c r="A17" s="21" t="s">
        <v>102</v>
      </c>
      <c r="B17" s="21" t="s">
        <v>103</v>
      </c>
      <c r="C17" s="21" t="s">
        <v>76</v>
      </c>
      <c r="D17" s="25" t="s">
        <v>89</v>
      </c>
      <c r="E17" s="26">
        <v>65</v>
      </c>
      <c r="F17" s="27">
        <v>80</v>
      </c>
    </row>
    <row r="18" spans="1:6" x14ac:dyDescent="0.2">
      <c r="A18" s="21" t="s">
        <v>104</v>
      </c>
      <c r="B18" s="21" t="s">
        <v>105</v>
      </c>
      <c r="C18" s="21" t="s">
        <v>82</v>
      </c>
      <c r="D18" s="25" t="s">
        <v>89</v>
      </c>
      <c r="E18" s="26">
        <v>15</v>
      </c>
      <c r="F18" s="27">
        <v>150</v>
      </c>
    </row>
    <row r="19" spans="1:6" x14ac:dyDescent="0.2">
      <c r="A19" s="21" t="s">
        <v>106</v>
      </c>
      <c r="B19" s="21" t="s">
        <v>107</v>
      </c>
      <c r="C19" s="21" t="s">
        <v>82</v>
      </c>
      <c r="D19" s="25" t="s">
        <v>108</v>
      </c>
      <c r="E19" s="26">
        <v>25</v>
      </c>
      <c r="F19" s="27">
        <v>100</v>
      </c>
    </row>
    <row r="20" spans="1:6" x14ac:dyDescent="0.2">
      <c r="A20" s="21" t="s">
        <v>109</v>
      </c>
      <c r="B20" s="21" t="s">
        <v>110</v>
      </c>
      <c r="C20" s="21" t="s">
        <v>76</v>
      </c>
      <c r="D20" s="25" t="s">
        <v>111</v>
      </c>
      <c r="E20" s="26">
        <v>85</v>
      </c>
      <c r="F20" s="27">
        <v>40</v>
      </c>
    </row>
    <row r="21" spans="1:6" x14ac:dyDescent="0.2">
      <c r="A21" s="21" t="s">
        <v>112</v>
      </c>
      <c r="B21" s="21" t="s">
        <v>113</v>
      </c>
      <c r="C21" s="21" t="s">
        <v>82</v>
      </c>
      <c r="D21" s="25" t="s">
        <v>89</v>
      </c>
      <c r="E21" s="26">
        <v>95</v>
      </c>
      <c r="F21" s="27">
        <v>60</v>
      </c>
    </row>
    <row r="22" spans="1:6" x14ac:dyDescent="0.2">
      <c r="A22" s="21" t="s">
        <v>114</v>
      </c>
      <c r="B22" s="21" t="s">
        <v>115</v>
      </c>
      <c r="C22" s="21" t="s">
        <v>82</v>
      </c>
      <c r="D22" s="25" t="s">
        <v>89</v>
      </c>
      <c r="E22" s="26">
        <v>850</v>
      </c>
      <c r="F22" s="27">
        <v>15</v>
      </c>
    </row>
    <row r="23" spans="1:6" x14ac:dyDescent="0.2">
      <c r="A23" s="21" t="s">
        <v>116</v>
      </c>
      <c r="B23" s="21" t="s">
        <v>117</v>
      </c>
      <c r="C23" s="21" t="s">
        <v>76</v>
      </c>
      <c r="D23" s="25" t="s">
        <v>89</v>
      </c>
      <c r="E23" s="26">
        <v>22</v>
      </c>
      <c r="F23" s="27">
        <v>100</v>
      </c>
    </row>
    <row r="24" spans="1:6" x14ac:dyDescent="0.2">
      <c r="A24" s="21" t="s">
        <v>118</v>
      </c>
      <c r="B24" s="21" t="s">
        <v>119</v>
      </c>
      <c r="C24" s="21" t="s">
        <v>76</v>
      </c>
      <c r="D24" s="25" t="s">
        <v>120</v>
      </c>
      <c r="E24" s="26">
        <v>45</v>
      </c>
      <c r="F24" s="27">
        <v>50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32.015625" customWidth="1"/>
    <col min="3" max="3" width="23.9453125" customWidth="1"/>
    <col min="4" max="4" width="20.04296875" customWidth="1"/>
    <col min="5" max="6" width="13.98828125" customWidth="1"/>
  </cols>
  <sheetData>
    <row r="1" spans="1:6" ht="21.75" customHeight="1" x14ac:dyDescent="0.2">
      <c r="A1" s="14" t="s">
        <v>121</v>
      </c>
      <c r="B1" s="14"/>
      <c r="C1" s="14"/>
      <c r="D1" s="14"/>
      <c r="E1" s="14"/>
      <c r="F1" s="14"/>
    </row>
    <row r="2" spans="1:6" ht="15.75" customHeight="1" x14ac:dyDescent="0.2">
      <c r="A2" s="13" t="s">
        <v>122</v>
      </c>
      <c r="B2" s="13"/>
      <c r="C2" s="13"/>
      <c r="D2" s="13"/>
      <c r="E2" s="13"/>
      <c r="F2" s="13"/>
    </row>
    <row r="4" spans="1:6" x14ac:dyDescent="0.2">
      <c r="A4" s="24" t="s">
        <v>123</v>
      </c>
      <c r="B4" s="24" t="s">
        <v>124</v>
      </c>
      <c r="C4" s="24" t="s">
        <v>125</v>
      </c>
      <c r="D4" s="24" t="s">
        <v>126</v>
      </c>
      <c r="E4" s="24" t="s">
        <v>127</v>
      </c>
      <c r="F4" s="24" t="s">
        <v>128</v>
      </c>
    </row>
    <row r="5" spans="1:6" x14ac:dyDescent="0.2">
      <c r="A5" s="21" t="s">
        <v>129</v>
      </c>
      <c r="B5" s="21" t="s">
        <v>130</v>
      </c>
      <c r="C5" s="21" t="s">
        <v>131</v>
      </c>
      <c r="D5" s="21" t="s">
        <v>132</v>
      </c>
      <c r="E5" s="25" t="s">
        <v>133</v>
      </c>
      <c r="F5" s="25" t="s">
        <v>134</v>
      </c>
    </row>
    <row r="6" spans="1:6" x14ac:dyDescent="0.2">
      <c r="A6" s="21" t="s">
        <v>135</v>
      </c>
      <c r="B6" s="21" t="s">
        <v>136</v>
      </c>
      <c r="C6" s="21" t="s">
        <v>137</v>
      </c>
      <c r="D6" s="21" t="s">
        <v>138</v>
      </c>
      <c r="E6" s="25" t="s">
        <v>133</v>
      </c>
      <c r="F6" s="25" t="s">
        <v>139</v>
      </c>
    </row>
    <row r="7" spans="1:6" x14ac:dyDescent="0.2">
      <c r="A7" s="21" t="s">
        <v>140</v>
      </c>
      <c r="B7" s="21" t="s">
        <v>141</v>
      </c>
      <c r="C7" s="21" t="s">
        <v>142</v>
      </c>
      <c r="D7" s="21" t="s">
        <v>143</v>
      </c>
      <c r="E7" s="25" t="s">
        <v>133</v>
      </c>
      <c r="F7" s="25" t="s">
        <v>144</v>
      </c>
    </row>
    <row r="8" spans="1:6" x14ac:dyDescent="0.2">
      <c r="A8" s="21"/>
      <c r="B8" s="21"/>
      <c r="C8" s="21"/>
      <c r="D8" s="21"/>
      <c r="E8" s="25"/>
      <c r="F8" s="25"/>
    </row>
    <row r="9" spans="1:6" x14ac:dyDescent="0.2">
      <c r="A9" s="21"/>
      <c r="B9" s="21"/>
      <c r="C9" s="21"/>
      <c r="D9" s="21"/>
      <c r="E9" s="25"/>
      <c r="F9" s="25"/>
    </row>
    <row r="10" spans="1:6" x14ac:dyDescent="0.2">
      <c r="A10" s="21"/>
      <c r="B10" s="21"/>
      <c r="C10" s="21"/>
      <c r="D10" s="21"/>
      <c r="E10" s="25"/>
      <c r="F10" s="25"/>
    </row>
    <row r="11" spans="1:6" x14ac:dyDescent="0.2">
      <c r="A11" s="21"/>
      <c r="B11" s="21"/>
      <c r="C11" s="21"/>
      <c r="D11" s="21"/>
      <c r="E11" s="25"/>
      <c r="F11" s="25"/>
    </row>
    <row r="12" spans="1:6" x14ac:dyDescent="0.2">
      <c r="A12" s="21"/>
      <c r="B12" s="21"/>
      <c r="C12" s="21"/>
      <c r="D12" s="21"/>
      <c r="E12" s="25"/>
      <c r="F12" s="25"/>
    </row>
    <row r="13" spans="1:6" x14ac:dyDescent="0.2">
      <c r="A13" s="21"/>
      <c r="B13" s="21"/>
      <c r="C13" s="21"/>
      <c r="D13" s="21"/>
      <c r="E13" s="25"/>
      <c r="F13" s="25"/>
    </row>
    <row r="14" spans="1:6" x14ac:dyDescent="0.2">
      <c r="A14" s="21"/>
      <c r="B14" s="21"/>
      <c r="C14" s="21"/>
      <c r="D14" s="21"/>
      <c r="E14" s="25"/>
      <c r="F14" s="25"/>
    </row>
    <row r="15" spans="1:6" x14ac:dyDescent="0.2">
      <c r="A15" s="21"/>
      <c r="B15" s="21"/>
      <c r="C15" s="21"/>
      <c r="D15" s="21"/>
      <c r="E15" s="25"/>
      <c r="F15" s="25"/>
    </row>
    <row r="16" spans="1:6" x14ac:dyDescent="0.2">
      <c r="A16" s="21"/>
      <c r="B16" s="21"/>
      <c r="C16" s="21"/>
      <c r="D16" s="21"/>
      <c r="E16" s="25"/>
      <c r="F16" s="25"/>
    </row>
    <row r="17" spans="1:6" x14ac:dyDescent="0.2">
      <c r="A17" s="21"/>
      <c r="B17" s="21"/>
      <c r="C17" s="21"/>
      <c r="D17" s="21"/>
      <c r="E17" s="25"/>
      <c r="F17" s="25"/>
    </row>
    <row r="18" spans="1:6" x14ac:dyDescent="0.2">
      <c r="A18" s="21"/>
      <c r="B18" s="21"/>
      <c r="C18" s="21"/>
      <c r="D18" s="21"/>
      <c r="E18" s="25"/>
      <c r="F18" s="25"/>
    </row>
    <row r="19" spans="1:6" x14ac:dyDescent="0.2">
      <c r="A19" s="21"/>
      <c r="B19" s="21"/>
      <c r="C19" s="21"/>
      <c r="D19" s="21"/>
      <c r="E19" s="25"/>
      <c r="F19" s="25"/>
    </row>
    <row r="20" spans="1:6" x14ac:dyDescent="0.2">
      <c r="A20" s="21"/>
      <c r="B20" s="21"/>
      <c r="C20" s="21"/>
      <c r="D20" s="21"/>
      <c r="E20" s="25"/>
      <c r="F20" s="25"/>
    </row>
    <row r="21" spans="1:6" x14ac:dyDescent="0.2">
      <c r="A21" s="21"/>
      <c r="B21" s="21"/>
      <c r="C21" s="21"/>
      <c r="D21" s="21"/>
      <c r="E21" s="25"/>
      <c r="F21" s="25"/>
    </row>
    <row r="22" spans="1:6" x14ac:dyDescent="0.2">
      <c r="A22" s="21"/>
      <c r="B22" s="21"/>
      <c r="C22" s="21"/>
      <c r="D22" s="21"/>
      <c r="E22" s="25"/>
      <c r="F22" s="25"/>
    </row>
    <row r="23" spans="1:6" x14ac:dyDescent="0.2">
      <c r="A23" s="21"/>
      <c r="B23" s="21"/>
      <c r="C23" s="21"/>
      <c r="D23" s="21"/>
      <c r="E23" s="25"/>
      <c r="F23" s="25"/>
    </row>
    <row r="24" spans="1:6" x14ac:dyDescent="0.2">
      <c r="A24" s="21"/>
      <c r="B24" s="21"/>
      <c r="C24" s="21"/>
      <c r="D24" s="21"/>
      <c r="E24" s="25"/>
      <c r="F24" s="25"/>
    </row>
    <row r="25" spans="1:6" x14ac:dyDescent="0.2">
      <c r="A25" s="21"/>
      <c r="B25" s="21"/>
      <c r="C25" s="21"/>
      <c r="D25" s="21"/>
      <c r="E25" s="25"/>
      <c r="F25" s="25"/>
    </row>
    <row r="26" spans="1:6" x14ac:dyDescent="0.2">
      <c r="A26" s="21"/>
      <c r="B26" s="21"/>
      <c r="C26" s="21"/>
      <c r="D26" s="21"/>
      <c r="E26" s="25"/>
      <c r="F26" s="25"/>
    </row>
    <row r="27" spans="1:6" x14ac:dyDescent="0.2">
      <c r="A27" s="21"/>
      <c r="B27" s="21"/>
      <c r="C27" s="21"/>
      <c r="D27" s="21"/>
      <c r="E27" s="25"/>
      <c r="F27" s="25"/>
    </row>
    <row r="28" spans="1:6" x14ac:dyDescent="0.2">
      <c r="A28" s="21"/>
      <c r="B28" s="21"/>
      <c r="C28" s="21"/>
      <c r="D28" s="21"/>
      <c r="E28" s="25"/>
      <c r="F28" s="25"/>
    </row>
    <row r="29" spans="1:6" x14ac:dyDescent="0.2">
      <c r="A29" s="21"/>
      <c r="B29" s="21"/>
      <c r="C29" s="21"/>
      <c r="D29" s="21"/>
      <c r="E29" s="25"/>
      <c r="F29" s="25"/>
    </row>
    <row r="30" spans="1:6" x14ac:dyDescent="0.2">
      <c r="A30" s="21"/>
      <c r="B30" s="21"/>
      <c r="C30" s="21"/>
      <c r="D30" s="21"/>
      <c r="E30" s="25"/>
      <c r="F30" s="25"/>
    </row>
    <row r="31" spans="1:6" x14ac:dyDescent="0.2">
      <c r="A31" s="21"/>
      <c r="B31" s="21"/>
      <c r="C31" s="21"/>
      <c r="D31" s="21"/>
      <c r="E31" s="25"/>
      <c r="F31" s="25"/>
    </row>
    <row r="32" spans="1:6" x14ac:dyDescent="0.2">
      <c r="A32" s="21"/>
      <c r="B32" s="21"/>
      <c r="C32" s="21"/>
      <c r="D32" s="21"/>
      <c r="E32" s="25"/>
      <c r="F32" s="25"/>
    </row>
    <row r="33" spans="1:6" x14ac:dyDescent="0.2">
      <c r="A33" s="21"/>
      <c r="B33" s="21"/>
      <c r="C33" s="21"/>
      <c r="D33" s="21"/>
      <c r="E33" s="25"/>
      <c r="F33" s="25"/>
    </row>
    <row r="34" spans="1:6" x14ac:dyDescent="0.2">
      <c r="A34" s="21"/>
      <c r="B34" s="21"/>
      <c r="C34" s="21"/>
      <c r="D34" s="21"/>
      <c r="E34" s="25"/>
      <c r="F34" s="25"/>
    </row>
    <row r="35" spans="1:6" x14ac:dyDescent="0.2">
      <c r="A35" s="21"/>
      <c r="B35" s="21"/>
      <c r="C35" s="21"/>
      <c r="D35" s="21"/>
      <c r="E35" s="25"/>
      <c r="F35" s="25"/>
    </row>
    <row r="36" spans="1:6" x14ac:dyDescent="0.2">
      <c r="A36" s="21"/>
      <c r="B36" s="21"/>
      <c r="C36" s="21"/>
      <c r="D36" s="21"/>
      <c r="E36" s="25"/>
      <c r="F36" s="25"/>
    </row>
    <row r="37" spans="1:6" x14ac:dyDescent="0.2">
      <c r="A37" s="21"/>
      <c r="B37" s="21"/>
      <c r="C37" s="21"/>
      <c r="D37" s="21"/>
      <c r="E37" s="25"/>
      <c r="F37" s="25"/>
    </row>
    <row r="38" spans="1:6" x14ac:dyDescent="0.2">
      <c r="A38" s="21"/>
      <c r="B38" s="21"/>
      <c r="C38" s="21"/>
      <c r="D38" s="21"/>
      <c r="E38" s="25"/>
      <c r="F38" s="25"/>
    </row>
    <row r="39" spans="1:6" x14ac:dyDescent="0.2">
      <c r="A39" s="21"/>
      <c r="B39" s="21"/>
      <c r="C39" s="21"/>
      <c r="D39" s="21"/>
      <c r="E39" s="25"/>
      <c r="F39" s="25"/>
    </row>
    <row r="40" spans="1:6" x14ac:dyDescent="0.2">
      <c r="A40" s="21"/>
      <c r="B40" s="21"/>
      <c r="C40" s="21"/>
      <c r="D40" s="21"/>
      <c r="E40" s="25"/>
      <c r="F40" s="25"/>
    </row>
    <row r="41" spans="1:6" x14ac:dyDescent="0.2">
      <c r="A41" s="21"/>
      <c r="B41" s="21"/>
      <c r="C41" s="21"/>
      <c r="D41" s="21"/>
      <c r="E41" s="25"/>
      <c r="F41" s="25"/>
    </row>
    <row r="42" spans="1:6" x14ac:dyDescent="0.2">
      <c r="A42" s="21"/>
      <c r="B42" s="21"/>
      <c r="C42" s="21"/>
      <c r="D42" s="21"/>
      <c r="E42" s="25"/>
      <c r="F42" s="25"/>
    </row>
    <row r="43" spans="1:6" x14ac:dyDescent="0.2">
      <c r="A43" s="21"/>
      <c r="B43" s="21"/>
      <c r="C43" s="21"/>
      <c r="D43" s="21"/>
      <c r="E43" s="25"/>
      <c r="F43" s="25"/>
    </row>
    <row r="44" spans="1:6" x14ac:dyDescent="0.2">
      <c r="A44" s="21"/>
      <c r="B44" s="21"/>
      <c r="C44" s="21"/>
      <c r="D44" s="21"/>
      <c r="E44" s="25"/>
      <c r="F44" s="25"/>
    </row>
    <row r="45" spans="1:6" x14ac:dyDescent="0.2">
      <c r="A45" s="21"/>
      <c r="B45" s="21"/>
      <c r="C45" s="21"/>
      <c r="D45" s="21"/>
      <c r="E45" s="25"/>
      <c r="F45" s="25"/>
    </row>
    <row r="46" spans="1:6" x14ac:dyDescent="0.2">
      <c r="A46" s="21"/>
      <c r="B46" s="21"/>
      <c r="C46" s="21"/>
      <c r="D46" s="21"/>
      <c r="E46" s="25"/>
      <c r="F46" s="25"/>
    </row>
    <row r="47" spans="1:6" x14ac:dyDescent="0.2">
      <c r="A47" s="21"/>
      <c r="B47" s="21"/>
      <c r="C47" s="21"/>
      <c r="D47" s="21"/>
      <c r="E47" s="25"/>
      <c r="F47" s="25"/>
    </row>
    <row r="48" spans="1:6" x14ac:dyDescent="0.2">
      <c r="A48" s="21"/>
      <c r="B48" s="21"/>
      <c r="C48" s="21"/>
      <c r="D48" s="21"/>
      <c r="E48" s="25"/>
      <c r="F48" s="25"/>
    </row>
    <row r="49" spans="1:6" x14ac:dyDescent="0.2">
      <c r="A49" s="21"/>
      <c r="B49" s="21"/>
      <c r="C49" s="21"/>
      <c r="D49" s="21"/>
      <c r="E49" s="25"/>
      <c r="F49" s="25"/>
    </row>
    <row r="50" spans="1:6" x14ac:dyDescent="0.2">
      <c r="A50" s="21"/>
      <c r="B50" s="21"/>
      <c r="C50" s="21"/>
      <c r="D50" s="21"/>
      <c r="E50" s="25"/>
      <c r="F50" s="25"/>
    </row>
    <row r="51" spans="1:6" x14ac:dyDescent="0.2">
      <c r="A51" s="21"/>
      <c r="B51" s="21"/>
      <c r="C51" s="21"/>
      <c r="D51" s="21"/>
      <c r="E51" s="25"/>
      <c r="F51" s="25"/>
    </row>
    <row r="52" spans="1:6" x14ac:dyDescent="0.2">
      <c r="A52" s="21"/>
      <c r="B52" s="21"/>
      <c r="C52" s="21"/>
      <c r="D52" s="21"/>
      <c r="E52" s="25"/>
      <c r="F52" s="25"/>
    </row>
    <row r="53" spans="1:6" x14ac:dyDescent="0.2">
      <c r="A53" s="21"/>
      <c r="B53" s="21"/>
      <c r="C53" s="21"/>
      <c r="D53" s="21"/>
      <c r="E53" s="25"/>
      <c r="F53" s="25"/>
    </row>
    <row r="54" spans="1:6" x14ac:dyDescent="0.2">
      <c r="A54" s="21"/>
      <c r="B54" s="21"/>
      <c r="C54" s="21"/>
      <c r="D54" s="21"/>
      <c r="E54" s="25"/>
      <c r="F54" s="25"/>
    </row>
  </sheetData>
  <mergeCells count="2">
    <mergeCell ref="A1:F1"/>
    <mergeCell ref="A2:F2"/>
  </mergeCells>
  <dataValidations count="1">
    <dataValidation type="list" allowBlank="1" sqref="E5:E54" xr:uid="{00000000-0002-0000-0300-000000000000}">
      <formula1>"Activa,Pausada,Terminada"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7.93359375" customWidth="1"/>
    <col min="2" max="3" width="11.97265625" customWidth="1"/>
    <col min="4" max="4" width="34.03125" customWidth="1"/>
    <col min="5" max="5" width="9.953125" customWidth="1"/>
    <col min="6" max="6" width="18.0234375" customWidth="1"/>
    <col min="7" max="7" width="11.97265625" customWidth="1"/>
    <col min="8" max="8" width="29.99609375" customWidth="1"/>
    <col min="9" max="9" width="11.97265625" customWidth="1"/>
    <col min="10" max="10" width="18.0234375" customWidth="1"/>
    <col min="11" max="11" width="29.99609375" customWidth="1"/>
  </cols>
  <sheetData>
    <row r="1" spans="1:11" ht="21.75" customHeight="1" x14ac:dyDescent="0.2">
      <c r="A1" s="14" t="s">
        <v>145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2">
      <c r="A2" s="13" t="s">
        <v>146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24.75" x14ac:dyDescent="0.2">
      <c r="A4" s="24" t="s">
        <v>147</v>
      </c>
      <c r="B4" s="24" t="s">
        <v>148</v>
      </c>
      <c r="C4" s="24" t="s">
        <v>149</v>
      </c>
      <c r="D4" s="24" t="s">
        <v>69</v>
      </c>
      <c r="E4" s="24" t="s">
        <v>71</v>
      </c>
      <c r="F4" s="24" t="s">
        <v>150</v>
      </c>
      <c r="G4" s="24" t="s">
        <v>151</v>
      </c>
      <c r="H4" s="24" t="s">
        <v>124</v>
      </c>
      <c r="I4" s="24" t="s">
        <v>152</v>
      </c>
      <c r="J4" s="24" t="s">
        <v>126</v>
      </c>
      <c r="K4" s="24" t="s">
        <v>153</v>
      </c>
    </row>
    <row r="5" spans="1:11" x14ac:dyDescent="0.2">
      <c r="A5" s="25">
        <v>1</v>
      </c>
      <c r="B5" s="28" t="s">
        <v>154</v>
      </c>
      <c r="C5" s="25" t="s">
        <v>74</v>
      </c>
      <c r="D5" s="29" t="str">
        <f>IFERROR(INDEX('Catalogo Materiales'!$B$5:$B$24,MATCH(C5,'Catalogo Materiales'!$A$5:$A$24,0)),"")</f>
        <v>Tubería PVC 1/2"</v>
      </c>
      <c r="E5" s="30" t="str">
        <f>IFERROR(INDEX('Catalogo Materiales'!$D$5:$D$24,MATCH(C5,'Catalogo Materiales'!$A$5:$A$24,0)),"")</f>
        <v>m</v>
      </c>
      <c r="F5" s="25" t="s">
        <v>21</v>
      </c>
      <c r="G5" s="25"/>
      <c r="H5" s="29" t="str">
        <f>IFERROR(INDEX(Obras!$B$5:$B$54,MATCH(G5,Obras!$A$5:$A$54,0)),"")</f>
        <v/>
      </c>
      <c r="I5" s="27">
        <v>400</v>
      </c>
      <c r="J5" s="21" t="s">
        <v>155</v>
      </c>
      <c r="K5" s="21" t="s">
        <v>156</v>
      </c>
    </row>
    <row r="6" spans="1:11" x14ac:dyDescent="0.2">
      <c r="A6" s="25">
        <v>2</v>
      </c>
      <c r="B6" s="28" t="s">
        <v>154</v>
      </c>
      <c r="C6" s="25" t="s">
        <v>83</v>
      </c>
      <c r="D6" s="29" t="str">
        <f>IFERROR(INDEX('Catalogo Materiales'!$B$5:$B$24,MATCH(C6,'Catalogo Materiales'!$A$5:$A$24,0)),"")</f>
        <v>Cable THHW Cal. 12</v>
      </c>
      <c r="E6" s="30" t="str">
        <f>IFERROR(INDEX('Catalogo Materiales'!$D$5:$D$24,MATCH(C6,'Catalogo Materiales'!$A$5:$A$24,0)),"")</f>
        <v>m</v>
      </c>
      <c r="F6" s="25" t="s">
        <v>21</v>
      </c>
      <c r="G6" s="25"/>
      <c r="H6" s="29" t="str">
        <f>IFERROR(INDEX(Obras!$B$5:$B$54,MATCH(G6,Obras!$A$5:$A$54,0)),"")</f>
        <v/>
      </c>
      <c r="I6" s="27">
        <v>1000</v>
      </c>
      <c r="J6" s="21" t="s">
        <v>155</v>
      </c>
      <c r="K6" s="21" t="s">
        <v>156</v>
      </c>
    </row>
    <row r="7" spans="1:11" x14ac:dyDescent="0.2">
      <c r="A7" s="25">
        <v>3</v>
      </c>
      <c r="B7" s="28" t="s">
        <v>157</v>
      </c>
      <c r="C7" s="25" t="s">
        <v>94</v>
      </c>
      <c r="D7" s="29" t="str">
        <f>IFERROR(INDEX('Catalogo Materiales'!$B$5:$B$24,MATCH(C7,'Catalogo Materiales'!$A$5:$A$24,0)),"")</f>
        <v>Luminaria LED Empotrable 6"</v>
      </c>
      <c r="E7" s="30" t="str">
        <f>IFERROR(INDEX('Catalogo Materiales'!$D$5:$D$24,MATCH(C7,'Catalogo Materiales'!$A$5:$A$24,0)),"")</f>
        <v>pza</v>
      </c>
      <c r="F7" s="25" t="s">
        <v>21</v>
      </c>
      <c r="G7" s="25"/>
      <c r="H7" s="29" t="str">
        <f>IFERROR(INDEX(Obras!$B$5:$B$54,MATCH(G7,Obras!$A$5:$A$54,0)),"")</f>
        <v/>
      </c>
      <c r="I7" s="27">
        <v>80</v>
      </c>
      <c r="J7" s="21" t="s">
        <v>155</v>
      </c>
      <c r="K7" s="21" t="s">
        <v>156</v>
      </c>
    </row>
    <row r="8" spans="1:11" x14ac:dyDescent="0.2">
      <c r="A8" s="25">
        <v>4</v>
      </c>
      <c r="B8" s="28" t="s">
        <v>158</v>
      </c>
      <c r="C8" s="25" t="s">
        <v>74</v>
      </c>
      <c r="D8" s="29" t="str">
        <f>IFERROR(INDEX('Catalogo Materiales'!$B$5:$B$24,MATCH(C8,'Catalogo Materiales'!$A$5:$A$24,0)),"")</f>
        <v>Tubería PVC 1/2"</v>
      </c>
      <c r="E8" s="30" t="str">
        <f>IFERROR(INDEX('Catalogo Materiales'!$D$5:$D$24,MATCH(C8,'Catalogo Materiales'!$A$5:$A$24,0)),"")</f>
        <v>m</v>
      </c>
      <c r="F8" s="25" t="s">
        <v>23</v>
      </c>
      <c r="G8" s="25" t="s">
        <v>129</v>
      </c>
      <c r="H8" s="29" t="str">
        <f>IFERROR(INDEX(Obras!$B$5:$B$54,MATCH(G8,Obras!$A$5:$A$54,0)),"")</f>
        <v>Edificio Corporativo Torre Norte</v>
      </c>
      <c r="I8" s="27">
        <v>150</v>
      </c>
      <c r="J8" s="21" t="s">
        <v>159</v>
      </c>
      <c r="K8" s="21" t="s">
        <v>160</v>
      </c>
    </row>
    <row r="9" spans="1:11" x14ac:dyDescent="0.2">
      <c r="A9" s="25">
        <v>5</v>
      </c>
      <c r="B9" s="28" t="s">
        <v>158</v>
      </c>
      <c r="C9" s="25" t="s">
        <v>83</v>
      </c>
      <c r="D9" s="29" t="str">
        <f>IFERROR(INDEX('Catalogo Materiales'!$B$5:$B$24,MATCH(C9,'Catalogo Materiales'!$A$5:$A$24,0)),"")</f>
        <v>Cable THHW Cal. 12</v>
      </c>
      <c r="E9" s="30" t="str">
        <f>IFERROR(INDEX('Catalogo Materiales'!$D$5:$D$24,MATCH(C9,'Catalogo Materiales'!$A$5:$A$24,0)),"")</f>
        <v>m</v>
      </c>
      <c r="F9" s="25" t="s">
        <v>23</v>
      </c>
      <c r="G9" s="25" t="s">
        <v>129</v>
      </c>
      <c r="H9" s="29" t="str">
        <f>IFERROR(INDEX(Obras!$B$5:$B$54,MATCH(G9,Obras!$A$5:$A$54,0)),"")</f>
        <v>Edificio Corporativo Torre Norte</v>
      </c>
      <c r="I9" s="27">
        <v>300</v>
      </c>
      <c r="J9" s="21" t="s">
        <v>159</v>
      </c>
      <c r="K9" s="21" t="s">
        <v>161</v>
      </c>
    </row>
    <row r="10" spans="1:11" x14ac:dyDescent="0.2">
      <c r="A10" s="25">
        <v>6</v>
      </c>
      <c r="B10" s="28" t="s">
        <v>162</v>
      </c>
      <c r="C10" s="25" t="s">
        <v>83</v>
      </c>
      <c r="D10" s="29" t="str">
        <f>IFERROR(INDEX('Catalogo Materiales'!$B$5:$B$24,MATCH(C10,'Catalogo Materiales'!$A$5:$A$24,0)),"")</f>
        <v>Cable THHW Cal. 12</v>
      </c>
      <c r="E10" s="30" t="str">
        <f>IFERROR(INDEX('Catalogo Materiales'!$D$5:$D$24,MATCH(C10,'Catalogo Materiales'!$A$5:$A$24,0)),"")</f>
        <v>m</v>
      </c>
      <c r="F10" s="25" t="s">
        <v>25</v>
      </c>
      <c r="G10" s="25" t="s">
        <v>129</v>
      </c>
      <c r="H10" s="29" t="str">
        <f>IFERROR(INDEX(Obras!$B$5:$B$54,MATCH(G10,Obras!$A$5:$A$54,0)),"")</f>
        <v>Edificio Corporativo Torre Norte</v>
      </c>
      <c r="I10" s="27">
        <v>180</v>
      </c>
      <c r="J10" s="21" t="s">
        <v>163</v>
      </c>
      <c r="K10" s="21" t="s">
        <v>164</v>
      </c>
    </row>
    <row r="11" spans="1:11" x14ac:dyDescent="0.2">
      <c r="A11" s="25">
        <v>7</v>
      </c>
      <c r="B11" s="28" t="s">
        <v>165</v>
      </c>
      <c r="C11" s="25" t="s">
        <v>74</v>
      </c>
      <c r="D11" s="29" t="str">
        <f>IFERROR(INDEX('Catalogo Materiales'!$B$5:$B$24,MATCH(C11,'Catalogo Materiales'!$A$5:$A$24,0)),"")</f>
        <v>Tubería PVC 1/2"</v>
      </c>
      <c r="E11" s="30" t="str">
        <f>IFERROR(INDEX('Catalogo Materiales'!$D$5:$D$24,MATCH(C11,'Catalogo Materiales'!$A$5:$A$24,0)),"")</f>
        <v>m</v>
      </c>
      <c r="F11" s="25" t="s">
        <v>25</v>
      </c>
      <c r="G11" s="25" t="s">
        <v>129</v>
      </c>
      <c r="H11" s="29" t="str">
        <f>IFERROR(INDEX(Obras!$B$5:$B$54,MATCH(G11,Obras!$A$5:$A$54,0)),"")</f>
        <v>Edificio Corporativo Torre Norte</v>
      </c>
      <c r="I11" s="27">
        <v>90</v>
      </c>
      <c r="J11" s="21" t="s">
        <v>166</v>
      </c>
      <c r="K11" s="21" t="s">
        <v>167</v>
      </c>
    </row>
    <row r="12" spans="1:11" x14ac:dyDescent="0.2">
      <c r="A12" s="25">
        <v>8</v>
      </c>
      <c r="B12" s="28" t="s">
        <v>168</v>
      </c>
      <c r="C12" s="25" t="s">
        <v>74</v>
      </c>
      <c r="D12" s="29" t="str">
        <f>IFERROR(INDEX('Catalogo Materiales'!$B$5:$B$24,MATCH(C12,'Catalogo Materiales'!$A$5:$A$24,0)),"")</f>
        <v>Tubería PVC 1/2"</v>
      </c>
      <c r="E12" s="30" t="str">
        <f>IFERROR(INDEX('Catalogo Materiales'!$D$5:$D$24,MATCH(C12,'Catalogo Materiales'!$A$5:$A$24,0)),"")</f>
        <v>m</v>
      </c>
      <c r="F12" s="25" t="s">
        <v>169</v>
      </c>
      <c r="G12" s="25" t="s">
        <v>129</v>
      </c>
      <c r="H12" s="29" t="str">
        <f>IFERROR(INDEX(Obras!$B$5:$B$54,MATCH(G12,Obras!$A$5:$A$54,0)),"")</f>
        <v>Edificio Corporativo Torre Norte</v>
      </c>
      <c r="I12" s="27">
        <v>10</v>
      </c>
      <c r="J12" s="21" t="s">
        <v>159</v>
      </c>
      <c r="K12" s="21" t="s">
        <v>170</v>
      </c>
    </row>
    <row r="13" spans="1:11" x14ac:dyDescent="0.2">
      <c r="A13" s="25">
        <v>9</v>
      </c>
      <c r="B13" s="28" t="s">
        <v>171</v>
      </c>
      <c r="C13" s="25" t="s">
        <v>94</v>
      </c>
      <c r="D13" s="29" t="str">
        <f>IFERROR(INDEX('Catalogo Materiales'!$B$5:$B$24,MATCH(C13,'Catalogo Materiales'!$A$5:$A$24,0)),"")</f>
        <v>Luminaria LED Empotrable 6"</v>
      </c>
      <c r="E13" s="30" t="str">
        <f>IFERROR(INDEX('Catalogo Materiales'!$D$5:$D$24,MATCH(C13,'Catalogo Materiales'!$A$5:$A$24,0)),"")</f>
        <v>pza</v>
      </c>
      <c r="F13" s="25" t="s">
        <v>23</v>
      </c>
      <c r="G13" s="25" t="s">
        <v>135</v>
      </c>
      <c r="H13" s="29" t="str">
        <f>IFERROR(INDEX(Obras!$B$5:$B$54,MATCH(G13,Obras!$A$5:$A$54,0)),"")</f>
        <v>Plaza Comercial Los Pinos</v>
      </c>
      <c r="I13" s="27">
        <v>40</v>
      </c>
      <c r="J13" s="21" t="s">
        <v>159</v>
      </c>
      <c r="K13" s="21" t="s">
        <v>172</v>
      </c>
    </row>
    <row r="14" spans="1:11" x14ac:dyDescent="0.2">
      <c r="A14" s="25"/>
      <c r="B14" s="28"/>
      <c r="C14" s="25"/>
      <c r="D14" s="29" t="str">
        <f>IFERROR(INDEX('Catalogo Materiales'!$B$5:$B$24,MATCH(C14,'Catalogo Materiales'!$A$5:$A$24,0)),"")</f>
        <v/>
      </c>
      <c r="E14" s="30" t="str">
        <f>IFERROR(INDEX('Catalogo Materiales'!$D$5:$D$24,MATCH(C14,'Catalogo Materiales'!$A$5:$A$24,0)),"")</f>
        <v/>
      </c>
      <c r="F14" s="25"/>
      <c r="G14" s="25"/>
      <c r="H14" s="29" t="str">
        <f>IFERROR(INDEX(Obras!$B$5:$B$54,MATCH(G14,Obras!$A$5:$A$54,0)),"")</f>
        <v/>
      </c>
      <c r="I14" s="27"/>
      <c r="J14" s="21"/>
      <c r="K14" s="21"/>
    </row>
    <row r="15" spans="1:11" x14ac:dyDescent="0.2">
      <c r="A15" s="25"/>
      <c r="B15" s="28"/>
      <c r="C15" s="25"/>
      <c r="D15" s="29" t="str">
        <f>IFERROR(INDEX('Catalogo Materiales'!$B$5:$B$24,MATCH(C15,'Catalogo Materiales'!$A$5:$A$24,0)),"")</f>
        <v/>
      </c>
      <c r="E15" s="30" t="str">
        <f>IFERROR(INDEX('Catalogo Materiales'!$D$5:$D$24,MATCH(C15,'Catalogo Materiales'!$A$5:$A$24,0)),"")</f>
        <v/>
      </c>
      <c r="F15" s="25"/>
      <c r="G15" s="25"/>
      <c r="H15" s="29" t="str">
        <f>IFERROR(INDEX(Obras!$B$5:$B$54,MATCH(G15,Obras!$A$5:$A$54,0)),"")</f>
        <v/>
      </c>
      <c r="I15" s="27"/>
      <c r="J15" s="21"/>
      <c r="K15" s="21"/>
    </row>
    <row r="16" spans="1:11" x14ac:dyDescent="0.2">
      <c r="A16" s="25"/>
      <c r="B16" s="28"/>
      <c r="C16" s="25"/>
      <c r="D16" s="29" t="str">
        <f>IFERROR(INDEX('Catalogo Materiales'!$B$5:$B$24,MATCH(C16,'Catalogo Materiales'!$A$5:$A$24,0)),"")</f>
        <v/>
      </c>
      <c r="E16" s="30" t="str">
        <f>IFERROR(INDEX('Catalogo Materiales'!$D$5:$D$24,MATCH(C16,'Catalogo Materiales'!$A$5:$A$24,0)),"")</f>
        <v/>
      </c>
      <c r="F16" s="25"/>
      <c r="G16" s="25"/>
      <c r="H16" s="29" t="str">
        <f>IFERROR(INDEX(Obras!$B$5:$B$54,MATCH(G16,Obras!$A$5:$A$54,0)),"")</f>
        <v/>
      </c>
      <c r="I16" s="27"/>
      <c r="J16" s="21"/>
      <c r="K16" s="21"/>
    </row>
    <row r="17" spans="1:11" x14ac:dyDescent="0.2">
      <c r="A17" s="25"/>
      <c r="B17" s="28"/>
      <c r="C17" s="25"/>
      <c r="D17" s="29" t="str">
        <f>IFERROR(INDEX('Catalogo Materiales'!$B$5:$B$24,MATCH(C17,'Catalogo Materiales'!$A$5:$A$24,0)),"")</f>
        <v/>
      </c>
      <c r="E17" s="30" t="str">
        <f>IFERROR(INDEX('Catalogo Materiales'!$D$5:$D$24,MATCH(C17,'Catalogo Materiales'!$A$5:$A$24,0)),"")</f>
        <v/>
      </c>
      <c r="F17" s="25"/>
      <c r="G17" s="25"/>
      <c r="H17" s="29" t="str">
        <f>IFERROR(INDEX(Obras!$B$5:$B$54,MATCH(G17,Obras!$A$5:$A$54,0)),"")</f>
        <v/>
      </c>
      <c r="I17" s="27"/>
      <c r="J17" s="21"/>
      <c r="K17" s="21"/>
    </row>
    <row r="18" spans="1:11" x14ac:dyDescent="0.2">
      <c r="A18" s="25"/>
      <c r="B18" s="28"/>
      <c r="C18" s="25"/>
      <c r="D18" s="29" t="str">
        <f>IFERROR(INDEX('Catalogo Materiales'!$B$5:$B$24,MATCH(C18,'Catalogo Materiales'!$A$5:$A$24,0)),"")</f>
        <v/>
      </c>
      <c r="E18" s="30" t="str">
        <f>IFERROR(INDEX('Catalogo Materiales'!$D$5:$D$24,MATCH(C18,'Catalogo Materiales'!$A$5:$A$24,0)),"")</f>
        <v/>
      </c>
      <c r="F18" s="25"/>
      <c r="G18" s="25"/>
      <c r="H18" s="29" t="str">
        <f>IFERROR(INDEX(Obras!$B$5:$B$54,MATCH(G18,Obras!$A$5:$A$54,0)),"")</f>
        <v/>
      </c>
      <c r="I18" s="27"/>
      <c r="J18" s="21"/>
      <c r="K18" s="21"/>
    </row>
    <row r="19" spans="1:11" x14ac:dyDescent="0.2">
      <c r="A19" s="25"/>
      <c r="B19" s="28"/>
      <c r="C19" s="25"/>
      <c r="D19" s="29" t="str">
        <f>IFERROR(INDEX('Catalogo Materiales'!$B$5:$B$24,MATCH(C19,'Catalogo Materiales'!$A$5:$A$24,0)),"")</f>
        <v/>
      </c>
      <c r="E19" s="30" t="str">
        <f>IFERROR(INDEX('Catalogo Materiales'!$D$5:$D$24,MATCH(C19,'Catalogo Materiales'!$A$5:$A$24,0)),"")</f>
        <v/>
      </c>
      <c r="F19" s="25"/>
      <c r="G19" s="25"/>
      <c r="H19" s="29" t="str">
        <f>IFERROR(INDEX(Obras!$B$5:$B$54,MATCH(G19,Obras!$A$5:$A$54,0)),"")</f>
        <v/>
      </c>
      <c r="I19" s="27"/>
      <c r="J19" s="21"/>
      <c r="K19" s="21"/>
    </row>
    <row r="20" spans="1:11" x14ac:dyDescent="0.2">
      <c r="A20" s="25"/>
      <c r="B20" s="28"/>
      <c r="C20" s="25"/>
      <c r="D20" s="29" t="str">
        <f>IFERROR(INDEX('Catalogo Materiales'!$B$5:$B$24,MATCH(C20,'Catalogo Materiales'!$A$5:$A$24,0)),"")</f>
        <v/>
      </c>
      <c r="E20" s="30" t="str">
        <f>IFERROR(INDEX('Catalogo Materiales'!$D$5:$D$24,MATCH(C20,'Catalogo Materiales'!$A$5:$A$24,0)),"")</f>
        <v/>
      </c>
      <c r="F20" s="25"/>
      <c r="G20" s="25"/>
      <c r="H20" s="29" t="str">
        <f>IFERROR(INDEX(Obras!$B$5:$B$54,MATCH(G20,Obras!$A$5:$A$54,0)),"")</f>
        <v/>
      </c>
      <c r="I20" s="27"/>
      <c r="J20" s="21"/>
      <c r="K20" s="21"/>
    </row>
    <row r="21" spans="1:11" x14ac:dyDescent="0.2">
      <c r="A21" s="25"/>
      <c r="B21" s="28"/>
      <c r="C21" s="25"/>
      <c r="D21" s="29" t="str">
        <f>IFERROR(INDEX('Catalogo Materiales'!$B$5:$B$24,MATCH(C21,'Catalogo Materiales'!$A$5:$A$24,0)),"")</f>
        <v/>
      </c>
      <c r="E21" s="30" t="str">
        <f>IFERROR(INDEX('Catalogo Materiales'!$D$5:$D$24,MATCH(C21,'Catalogo Materiales'!$A$5:$A$24,0)),"")</f>
        <v/>
      </c>
      <c r="F21" s="25"/>
      <c r="G21" s="25"/>
      <c r="H21" s="29" t="str">
        <f>IFERROR(INDEX(Obras!$B$5:$B$54,MATCH(G21,Obras!$A$5:$A$54,0)),"")</f>
        <v/>
      </c>
      <c r="I21" s="27"/>
      <c r="J21" s="21"/>
      <c r="K21" s="21"/>
    </row>
    <row r="22" spans="1:11" x14ac:dyDescent="0.2">
      <c r="A22" s="25"/>
      <c r="B22" s="28"/>
      <c r="C22" s="25"/>
      <c r="D22" s="29" t="str">
        <f>IFERROR(INDEX('Catalogo Materiales'!$B$5:$B$24,MATCH(C22,'Catalogo Materiales'!$A$5:$A$24,0)),"")</f>
        <v/>
      </c>
      <c r="E22" s="30" t="str">
        <f>IFERROR(INDEX('Catalogo Materiales'!$D$5:$D$24,MATCH(C22,'Catalogo Materiales'!$A$5:$A$24,0)),"")</f>
        <v/>
      </c>
      <c r="F22" s="25"/>
      <c r="G22" s="25"/>
      <c r="H22" s="29" t="str">
        <f>IFERROR(INDEX(Obras!$B$5:$B$54,MATCH(G22,Obras!$A$5:$A$54,0)),"")</f>
        <v/>
      </c>
      <c r="I22" s="27"/>
      <c r="J22" s="21"/>
      <c r="K22" s="21"/>
    </row>
    <row r="23" spans="1:11" x14ac:dyDescent="0.2">
      <c r="A23" s="25"/>
      <c r="B23" s="28"/>
      <c r="C23" s="25"/>
      <c r="D23" s="29" t="str">
        <f>IFERROR(INDEX('Catalogo Materiales'!$B$5:$B$24,MATCH(C23,'Catalogo Materiales'!$A$5:$A$24,0)),"")</f>
        <v/>
      </c>
      <c r="E23" s="30" t="str">
        <f>IFERROR(INDEX('Catalogo Materiales'!$D$5:$D$24,MATCH(C23,'Catalogo Materiales'!$A$5:$A$24,0)),"")</f>
        <v/>
      </c>
      <c r="F23" s="25"/>
      <c r="G23" s="25"/>
      <c r="H23" s="29" t="str">
        <f>IFERROR(INDEX(Obras!$B$5:$B$54,MATCH(G23,Obras!$A$5:$A$54,0)),"")</f>
        <v/>
      </c>
      <c r="I23" s="27"/>
      <c r="J23" s="21"/>
      <c r="K23" s="21"/>
    </row>
    <row r="24" spans="1:11" x14ac:dyDescent="0.2">
      <c r="A24" s="25"/>
      <c r="B24" s="28"/>
      <c r="C24" s="25"/>
      <c r="D24" s="29" t="str">
        <f>IFERROR(INDEX('Catalogo Materiales'!$B$5:$B$24,MATCH(C24,'Catalogo Materiales'!$A$5:$A$24,0)),"")</f>
        <v/>
      </c>
      <c r="E24" s="30" t="str">
        <f>IFERROR(INDEX('Catalogo Materiales'!$D$5:$D$24,MATCH(C24,'Catalogo Materiales'!$A$5:$A$24,0)),"")</f>
        <v/>
      </c>
      <c r="F24" s="25"/>
      <c r="G24" s="25"/>
      <c r="H24" s="29" t="str">
        <f>IFERROR(INDEX(Obras!$B$5:$B$54,MATCH(G24,Obras!$A$5:$A$54,0)),"")</f>
        <v/>
      </c>
      <c r="I24" s="27"/>
      <c r="J24" s="21"/>
      <c r="K24" s="21"/>
    </row>
    <row r="25" spans="1:11" x14ac:dyDescent="0.2">
      <c r="A25" s="25"/>
      <c r="B25" s="28"/>
      <c r="C25" s="25"/>
      <c r="D25" s="29" t="str">
        <f>IFERROR(INDEX('Catalogo Materiales'!$B$5:$B$24,MATCH(C25,'Catalogo Materiales'!$A$5:$A$24,0)),"")</f>
        <v/>
      </c>
      <c r="E25" s="30" t="str">
        <f>IFERROR(INDEX('Catalogo Materiales'!$D$5:$D$24,MATCH(C25,'Catalogo Materiales'!$A$5:$A$24,0)),"")</f>
        <v/>
      </c>
      <c r="F25" s="25"/>
      <c r="G25" s="25"/>
      <c r="H25" s="29" t="str">
        <f>IFERROR(INDEX(Obras!$B$5:$B$54,MATCH(G25,Obras!$A$5:$A$54,0)),"")</f>
        <v/>
      </c>
      <c r="I25" s="27"/>
      <c r="J25" s="21"/>
      <c r="K25" s="21"/>
    </row>
    <row r="26" spans="1:11" x14ac:dyDescent="0.2">
      <c r="A26" s="25"/>
      <c r="B26" s="28"/>
      <c r="C26" s="25"/>
      <c r="D26" s="29" t="str">
        <f>IFERROR(INDEX('Catalogo Materiales'!$B$5:$B$24,MATCH(C26,'Catalogo Materiales'!$A$5:$A$24,0)),"")</f>
        <v/>
      </c>
      <c r="E26" s="30" t="str">
        <f>IFERROR(INDEX('Catalogo Materiales'!$D$5:$D$24,MATCH(C26,'Catalogo Materiales'!$A$5:$A$24,0)),"")</f>
        <v/>
      </c>
      <c r="F26" s="25"/>
      <c r="G26" s="25"/>
      <c r="H26" s="29" t="str">
        <f>IFERROR(INDEX(Obras!$B$5:$B$54,MATCH(G26,Obras!$A$5:$A$54,0)),"")</f>
        <v/>
      </c>
      <c r="I26" s="27"/>
      <c r="J26" s="21"/>
      <c r="K26" s="21"/>
    </row>
    <row r="27" spans="1:11" x14ac:dyDescent="0.2">
      <c r="A27" s="25"/>
      <c r="B27" s="28"/>
      <c r="C27" s="25"/>
      <c r="D27" s="29" t="str">
        <f>IFERROR(INDEX('Catalogo Materiales'!$B$5:$B$24,MATCH(C27,'Catalogo Materiales'!$A$5:$A$24,0)),"")</f>
        <v/>
      </c>
      <c r="E27" s="30" t="str">
        <f>IFERROR(INDEX('Catalogo Materiales'!$D$5:$D$24,MATCH(C27,'Catalogo Materiales'!$A$5:$A$24,0)),"")</f>
        <v/>
      </c>
      <c r="F27" s="25"/>
      <c r="G27" s="25"/>
      <c r="H27" s="29" t="str">
        <f>IFERROR(INDEX(Obras!$B$5:$B$54,MATCH(G27,Obras!$A$5:$A$54,0)),"")</f>
        <v/>
      </c>
      <c r="I27" s="27"/>
      <c r="J27" s="21"/>
      <c r="K27" s="21"/>
    </row>
    <row r="28" spans="1:11" x14ac:dyDescent="0.2">
      <c r="A28" s="25"/>
      <c r="B28" s="28"/>
      <c r="C28" s="25"/>
      <c r="D28" s="29" t="str">
        <f>IFERROR(INDEX('Catalogo Materiales'!$B$5:$B$24,MATCH(C28,'Catalogo Materiales'!$A$5:$A$24,0)),"")</f>
        <v/>
      </c>
      <c r="E28" s="30" t="str">
        <f>IFERROR(INDEX('Catalogo Materiales'!$D$5:$D$24,MATCH(C28,'Catalogo Materiales'!$A$5:$A$24,0)),"")</f>
        <v/>
      </c>
      <c r="F28" s="25"/>
      <c r="G28" s="25"/>
      <c r="H28" s="29" t="str">
        <f>IFERROR(INDEX(Obras!$B$5:$B$54,MATCH(G28,Obras!$A$5:$A$54,0)),"")</f>
        <v/>
      </c>
      <c r="I28" s="27"/>
      <c r="J28" s="21"/>
      <c r="K28" s="21"/>
    </row>
    <row r="29" spans="1:11" x14ac:dyDescent="0.2">
      <c r="A29" s="25"/>
      <c r="B29" s="28"/>
      <c r="C29" s="25"/>
      <c r="D29" s="29" t="str">
        <f>IFERROR(INDEX('Catalogo Materiales'!$B$5:$B$24,MATCH(C29,'Catalogo Materiales'!$A$5:$A$24,0)),"")</f>
        <v/>
      </c>
      <c r="E29" s="30" t="str">
        <f>IFERROR(INDEX('Catalogo Materiales'!$D$5:$D$24,MATCH(C29,'Catalogo Materiales'!$A$5:$A$24,0)),"")</f>
        <v/>
      </c>
      <c r="F29" s="25"/>
      <c r="G29" s="25"/>
      <c r="H29" s="29" t="str">
        <f>IFERROR(INDEX(Obras!$B$5:$B$54,MATCH(G29,Obras!$A$5:$A$54,0)),"")</f>
        <v/>
      </c>
      <c r="I29" s="27"/>
      <c r="J29" s="21"/>
      <c r="K29" s="21"/>
    </row>
    <row r="30" spans="1:11" x14ac:dyDescent="0.2">
      <c r="A30" s="25"/>
      <c r="B30" s="28"/>
      <c r="C30" s="25"/>
      <c r="D30" s="29" t="str">
        <f>IFERROR(INDEX('Catalogo Materiales'!$B$5:$B$24,MATCH(C30,'Catalogo Materiales'!$A$5:$A$24,0)),"")</f>
        <v/>
      </c>
      <c r="E30" s="30" t="str">
        <f>IFERROR(INDEX('Catalogo Materiales'!$D$5:$D$24,MATCH(C30,'Catalogo Materiales'!$A$5:$A$24,0)),"")</f>
        <v/>
      </c>
      <c r="F30" s="25"/>
      <c r="G30" s="25"/>
      <c r="H30" s="29" t="str">
        <f>IFERROR(INDEX(Obras!$B$5:$B$54,MATCH(G30,Obras!$A$5:$A$54,0)),"")</f>
        <v/>
      </c>
      <c r="I30" s="27"/>
      <c r="J30" s="21"/>
      <c r="K30" s="21"/>
    </row>
    <row r="31" spans="1:11" x14ac:dyDescent="0.2">
      <c r="A31" s="25"/>
      <c r="B31" s="28"/>
      <c r="C31" s="25"/>
      <c r="D31" s="29" t="str">
        <f>IFERROR(INDEX('Catalogo Materiales'!$B$5:$B$24,MATCH(C31,'Catalogo Materiales'!$A$5:$A$24,0)),"")</f>
        <v/>
      </c>
      <c r="E31" s="30" t="str">
        <f>IFERROR(INDEX('Catalogo Materiales'!$D$5:$D$24,MATCH(C31,'Catalogo Materiales'!$A$5:$A$24,0)),"")</f>
        <v/>
      </c>
      <c r="F31" s="25"/>
      <c r="G31" s="25"/>
      <c r="H31" s="29" t="str">
        <f>IFERROR(INDEX(Obras!$B$5:$B$54,MATCH(G31,Obras!$A$5:$A$54,0)),"")</f>
        <v/>
      </c>
      <c r="I31" s="27"/>
      <c r="J31" s="21"/>
      <c r="K31" s="21"/>
    </row>
    <row r="32" spans="1:11" x14ac:dyDescent="0.2">
      <c r="A32" s="25"/>
      <c r="B32" s="28"/>
      <c r="C32" s="25"/>
      <c r="D32" s="29" t="str">
        <f>IFERROR(INDEX('Catalogo Materiales'!$B$5:$B$24,MATCH(C32,'Catalogo Materiales'!$A$5:$A$24,0)),"")</f>
        <v/>
      </c>
      <c r="E32" s="30" t="str">
        <f>IFERROR(INDEX('Catalogo Materiales'!$D$5:$D$24,MATCH(C32,'Catalogo Materiales'!$A$5:$A$24,0)),"")</f>
        <v/>
      </c>
      <c r="F32" s="25"/>
      <c r="G32" s="25"/>
      <c r="H32" s="29" t="str">
        <f>IFERROR(INDEX(Obras!$B$5:$B$54,MATCH(G32,Obras!$A$5:$A$54,0)),"")</f>
        <v/>
      </c>
      <c r="I32" s="27"/>
      <c r="J32" s="21"/>
      <c r="K32" s="21"/>
    </row>
    <row r="33" spans="1:11" x14ac:dyDescent="0.2">
      <c r="A33" s="25"/>
      <c r="B33" s="28"/>
      <c r="C33" s="25"/>
      <c r="D33" s="29" t="str">
        <f>IFERROR(INDEX('Catalogo Materiales'!$B$5:$B$24,MATCH(C33,'Catalogo Materiales'!$A$5:$A$24,0)),"")</f>
        <v/>
      </c>
      <c r="E33" s="30" t="str">
        <f>IFERROR(INDEX('Catalogo Materiales'!$D$5:$D$24,MATCH(C33,'Catalogo Materiales'!$A$5:$A$24,0)),"")</f>
        <v/>
      </c>
      <c r="F33" s="25"/>
      <c r="G33" s="25"/>
      <c r="H33" s="29" t="str">
        <f>IFERROR(INDEX(Obras!$B$5:$B$54,MATCH(G33,Obras!$A$5:$A$54,0)),"")</f>
        <v/>
      </c>
      <c r="I33" s="27"/>
      <c r="J33" s="21"/>
      <c r="K33" s="21"/>
    </row>
    <row r="34" spans="1:11" x14ac:dyDescent="0.2">
      <c r="A34" s="25"/>
      <c r="B34" s="28"/>
      <c r="C34" s="25"/>
      <c r="D34" s="29" t="str">
        <f>IFERROR(INDEX('Catalogo Materiales'!$B$5:$B$24,MATCH(C34,'Catalogo Materiales'!$A$5:$A$24,0)),"")</f>
        <v/>
      </c>
      <c r="E34" s="30" t="str">
        <f>IFERROR(INDEX('Catalogo Materiales'!$D$5:$D$24,MATCH(C34,'Catalogo Materiales'!$A$5:$A$24,0)),"")</f>
        <v/>
      </c>
      <c r="F34" s="25"/>
      <c r="G34" s="25"/>
      <c r="H34" s="29" t="str">
        <f>IFERROR(INDEX(Obras!$B$5:$B$54,MATCH(G34,Obras!$A$5:$A$54,0)),"")</f>
        <v/>
      </c>
      <c r="I34" s="27"/>
      <c r="J34" s="21"/>
      <c r="K34" s="21"/>
    </row>
    <row r="35" spans="1:11" x14ac:dyDescent="0.2">
      <c r="A35" s="25"/>
      <c r="B35" s="28"/>
      <c r="C35" s="25"/>
      <c r="D35" s="29" t="str">
        <f>IFERROR(INDEX('Catalogo Materiales'!$B$5:$B$24,MATCH(C35,'Catalogo Materiales'!$A$5:$A$24,0)),"")</f>
        <v/>
      </c>
      <c r="E35" s="30" t="str">
        <f>IFERROR(INDEX('Catalogo Materiales'!$D$5:$D$24,MATCH(C35,'Catalogo Materiales'!$A$5:$A$24,0)),"")</f>
        <v/>
      </c>
      <c r="F35" s="25"/>
      <c r="G35" s="25"/>
      <c r="H35" s="29" t="str">
        <f>IFERROR(INDEX(Obras!$B$5:$B$54,MATCH(G35,Obras!$A$5:$A$54,0)),"")</f>
        <v/>
      </c>
      <c r="I35" s="27"/>
      <c r="J35" s="21"/>
      <c r="K35" s="21"/>
    </row>
    <row r="36" spans="1:11" x14ac:dyDescent="0.2">
      <c r="A36" s="25"/>
      <c r="B36" s="28"/>
      <c r="C36" s="25"/>
      <c r="D36" s="29" t="str">
        <f>IFERROR(INDEX('Catalogo Materiales'!$B$5:$B$24,MATCH(C36,'Catalogo Materiales'!$A$5:$A$24,0)),"")</f>
        <v/>
      </c>
      <c r="E36" s="30" t="str">
        <f>IFERROR(INDEX('Catalogo Materiales'!$D$5:$D$24,MATCH(C36,'Catalogo Materiales'!$A$5:$A$24,0)),"")</f>
        <v/>
      </c>
      <c r="F36" s="25"/>
      <c r="G36" s="25"/>
      <c r="H36" s="29" t="str">
        <f>IFERROR(INDEX(Obras!$B$5:$B$54,MATCH(G36,Obras!$A$5:$A$54,0)),"")</f>
        <v/>
      </c>
      <c r="I36" s="27"/>
      <c r="J36" s="21"/>
      <c r="K36" s="21"/>
    </row>
    <row r="37" spans="1:11" x14ac:dyDescent="0.2">
      <c r="A37" s="25"/>
      <c r="B37" s="28"/>
      <c r="C37" s="25"/>
      <c r="D37" s="29" t="str">
        <f>IFERROR(INDEX('Catalogo Materiales'!$B$5:$B$24,MATCH(C37,'Catalogo Materiales'!$A$5:$A$24,0)),"")</f>
        <v/>
      </c>
      <c r="E37" s="30" t="str">
        <f>IFERROR(INDEX('Catalogo Materiales'!$D$5:$D$24,MATCH(C37,'Catalogo Materiales'!$A$5:$A$24,0)),"")</f>
        <v/>
      </c>
      <c r="F37" s="25"/>
      <c r="G37" s="25"/>
      <c r="H37" s="29" t="str">
        <f>IFERROR(INDEX(Obras!$B$5:$B$54,MATCH(G37,Obras!$A$5:$A$54,0)),"")</f>
        <v/>
      </c>
      <c r="I37" s="27"/>
      <c r="J37" s="21"/>
      <c r="K37" s="21"/>
    </row>
    <row r="38" spans="1:11" x14ac:dyDescent="0.2">
      <c r="A38" s="25"/>
      <c r="B38" s="28"/>
      <c r="C38" s="25"/>
      <c r="D38" s="29" t="str">
        <f>IFERROR(INDEX('Catalogo Materiales'!$B$5:$B$24,MATCH(C38,'Catalogo Materiales'!$A$5:$A$24,0)),"")</f>
        <v/>
      </c>
      <c r="E38" s="30" t="str">
        <f>IFERROR(INDEX('Catalogo Materiales'!$D$5:$D$24,MATCH(C38,'Catalogo Materiales'!$A$5:$A$24,0)),"")</f>
        <v/>
      </c>
      <c r="F38" s="25"/>
      <c r="G38" s="25"/>
      <c r="H38" s="29" t="str">
        <f>IFERROR(INDEX(Obras!$B$5:$B$54,MATCH(G38,Obras!$A$5:$A$54,0)),"")</f>
        <v/>
      </c>
      <c r="I38" s="27"/>
      <c r="J38" s="21"/>
      <c r="K38" s="21"/>
    </row>
    <row r="39" spans="1:11" x14ac:dyDescent="0.2">
      <c r="A39" s="25"/>
      <c r="B39" s="28"/>
      <c r="C39" s="25"/>
      <c r="D39" s="29" t="str">
        <f>IFERROR(INDEX('Catalogo Materiales'!$B$5:$B$24,MATCH(C39,'Catalogo Materiales'!$A$5:$A$24,0)),"")</f>
        <v/>
      </c>
      <c r="E39" s="30" t="str">
        <f>IFERROR(INDEX('Catalogo Materiales'!$D$5:$D$24,MATCH(C39,'Catalogo Materiales'!$A$5:$A$24,0)),"")</f>
        <v/>
      </c>
      <c r="F39" s="25"/>
      <c r="G39" s="25"/>
      <c r="H39" s="29" t="str">
        <f>IFERROR(INDEX(Obras!$B$5:$B$54,MATCH(G39,Obras!$A$5:$A$54,0)),"")</f>
        <v/>
      </c>
      <c r="I39" s="27"/>
      <c r="J39" s="21"/>
      <c r="K39" s="21"/>
    </row>
    <row r="40" spans="1:11" x14ac:dyDescent="0.2">
      <c r="A40" s="25"/>
      <c r="B40" s="28"/>
      <c r="C40" s="25"/>
      <c r="D40" s="29" t="str">
        <f>IFERROR(INDEX('Catalogo Materiales'!$B$5:$B$24,MATCH(C40,'Catalogo Materiales'!$A$5:$A$24,0)),"")</f>
        <v/>
      </c>
      <c r="E40" s="30" t="str">
        <f>IFERROR(INDEX('Catalogo Materiales'!$D$5:$D$24,MATCH(C40,'Catalogo Materiales'!$A$5:$A$24,0)),"")</f>
        <v/>
      </c>
      <c r="F40" s="25"/>
      <c r="G40" s="25"/>
      <c r="H40" s="29" t="str">
        <f>IFERROR(INDEX(Obras!$B$5:$B$54,MATCH(G40,Obras!$A$5:$A$54,0)),"")</f>
        <v/>
      </c>
      <c r="I40" s="27"/>
      <c r="J40" s="21"/>
      <c r="K40" s="21"/>
    </row>
    <row r="41" spans="1:11" x14ac:dyDescent="0.2">
      <c r="A41" s="25"/>
      <c r="B41" s="28"/>
      <c r="C41" s="25"/>
      <c r="D41" s="29" t="str">
        <f>IFERROR(INDEX('Catalogo Materiales'!$B$5:$B$24,MATCH(C41,'Catalogo Materiales'!$A$5:$A$24,0)),"")</f>
        <v/>
      </c>
      <c r="E41" s="30" t="str">
        <f>IFERROR(INDEX('Catalogo Materiales'!$D$5:$D$24,MATCH(C41,'Catalogo Materiales'!$A$5:$A$24,0)),"")</f>
        <v/>
      </c>
      <c r="F41" s="25"/>
      <c r="G41" s="25"/>
      <c r="H41" s="29" t="str">
        <f>IFERROR(INDEX(Obras!$B$5:$B$54,MATCH(G41,Obras!$A$5:$A$54,0)),"")</f>
        <v/>
      </c>
      <c r="I41" s="27"/>
      <c r="J41" s="21"/>
      <c r="K41" s="21"/>
    </row>
    <row r="42" spans="1:11" x14ac:dyDescent="0.2">
      <c r="A42" s="25"/>
      <c r="B42" s="28"/>
      <c r="C42" s="25"/>
      <c r="D42" s="29" t="str">
        <f>IFERROR(INDEX('Catalogo Materiales'!$B$5:$B$24,MATCH(C42,'Catalogo Materiales'!$A$5:$A$24,0)),"")</f>
        <v/>
      </c>
      <c r="E42" s="30" t="str">
        <f>IFERROR(INDEX('Catalogo Materiales'!$D$5:$D$24,MATCH(C42,'Catalogo Materiales'!$A$5:$A$24,0)),"")</f>
        <v/>
      </c>
      <c r="F42" s="25"/>
      <c r="G42" s="25"/>
      <c r="H42" s="29" t="str">
        <f>IFERROR(INDEX(Obras!$B$5:$B$54,MATCH(G42,Obras!$A$5:$A$54,0)),"")</f>
        <v/>
      </c>
      <c r="I42" s="27"/>
      <c r="J42" s="21"/>
      <c r="K42" s="21"/>
    </row>
    <row r="43" spans="1:11" x14ac:dyDescent="0.2">
      <c r="A43" s="25"/>
      <c r="B43" s="28"/>
      <c r="C43" s="25"/>
      <c r="D43" s="29" t="str">
        <f>IFERROR(INDEX('Catalogo Materiales'!$B$5:$B$24,MATCH(C43,'Catalogo Materiales'!$A$5:$A$24,0)),"")</f>
        <v/>
      </c>
      <c r="E43" s="30" t="str">
        <f>IFERROR(INDEX('Catalogo Materiales'!$D$5:$D$24,MATCH(C43,'Catalogo Materiales'!$A$5:$A$24,0)),"")</f>
        <v/>
      </c>
      <c r="F43" s="25"/>
      <c r="G43" s="25"/>
      <c r="H43" s="29" t="str">
        <f>IFERROR(INDEX(Obras!$B$5:$B$54,MATCH(G43,Obras!$A$5:$A$54,0)),"")</f>
        <v/>
      </c>
      <c r="I43" s="27"/>
      <c r="J43" s="21"/>
      <c r="K43" s="21"/>
    </row>
    <row r="44" spans="1:11" x14ac:dyDescent="0.2">
      <c r="A44" s="25"/>
      <c r="B44" s="28"/>
      <c r="C44" s="25"/>
      <c r="D44" s="29" t="str">
        <f>IFERROR(INDEX('Catalogo Materiales'!$B$5:$B$24,MATCH(C44,'Catalogo Materiales'!$A$5:$A$24,0)),"")</f>
        <v/>
      </c>
      <c r="E44" s="30" t="str">
        <f>IFERROR(INDEX('Catalogo Materiales'!$D$5:$D$24,MATCH(C44,'Catalogo Materiales'!$A$5:$A$24,0)),"")</f>
        <v/>
      </c>
      <c r="F44" s="25"/>
      <c r="G44" s="25"/>
      <c r="H44" s="29" t="str">
        <f>IFERROR(INDEX(Obras!$B$5:$B$54,MATCH(G44,Obras!$A$5:$A$54,0)),"")</f>
        <v/>
      </c>
      <c r="I44" s="27"/>
      <c r="J44" s="21"/>
      <c r="K44" s="21"/>
    </row>
    <row r="45" spans="1:11" x14ac:dyDescent="0.2">
      <c r="A45" s="25"/>
      <c r="B45" s="28"/>
      <c r="C45" s="25"/>
      <c r="D45" s="29" t="str">
        <f>IFERROR(INDEX('Catalogo Materiales'!$B$5:$B$24,MATCH(C45,'Catalogo Materiales'!$A$5:$A$24,0)),"")</f>
        <v/>
      </c>
      <c r="E45" s="30" t="str">
        <f>IFERROR(INDEX('Catalogo Materiales'!$D$5:$D$24,MATCH(C45,'Catalogo Materiales'!$A$5:$A$24,0)),"")</f>
        <v/>
      </c>
      <c r="F45" s="25"/>
      <c r="G45" s="25"/>
      <c r="H45" s="29" t="str">
        <f>IFERROR(INDEX(Obras!$B$5:$B$54,MATCH(G45,Obras!$A$5:$A$54,0)),"")</f>
        <v/>
      </c>
      <c r="I45" s="27"/>
      <c r="J45" s="21"/>
      <c r="K45" s="21"/>
    </row>
    <row r="46" spans="1:11" x14ac:dyDescent="0.2">
      <c r="A46" s="25"/>
      <c r="B46" s="28"/>
      <c r="C46" s="25"/>
      <c r="D46" s="29" t="str">
        <f>IFERROR(INDEX('Catalogo Materiales'!$B$5:$B$24,MATCH(C46,'Catalogo Materiales'!$A$5:$A$24,0)),"")</f>
        <v/>
      </c>
      <c r="E46" s="30" t="str">
        <f>IFERROR(INDEX('Catalogo Materiales'!$D$5:$D$24,MATCH(C46,'Catalogo Materiales'!$A$5:$A$24,0)),"")</f>
        <v/>
      </c>
      <c r="F46" s="25"/>
      <c r="G46" s="25"/>
      <c r="H46" s="29" t="str">
        <f>IFERROR(INDEX(Obras!$B$5:$B$54,MATCH(G46,Obras!$A$5:$A$54,0)),"")</f>
        <v/>
      </c>
      <c r="I46" s="27"/>
      <c r="J46" s="21"/>
      <c r="K46" s="21"/>
    </row>
    <row r="47" spans="1:11" x14ac:dyDescent="0.2">
      <c r="A47" s="25"/>
      <c r="B47" s="28"/>
      <c r="C47" s="25"/>
      <c r="D47" s="29" t="str">
        <f>IFERROR(INDEX('Catalogo Materiales'!$B$5:$B$24,MATCH(C47,'Catalogo Materiales'!$A$5:$A$24,0)),"")</f>
        <v/>
      </c>
      <c r="E47" s="30" t="str">
        <f>IFERROR(INDEX('Catalogo Materiales'!$D$5:$D$24,MATCH(C47,'Catalogo Materiales'!$A$5:$A$24,0)),"")</f>
        <v/>
      </c>
      <c r="F47" s="25"/>
      <c r="G47" s="25"/>
      <c r="H47" s="29" t="str">
        <f>IFERROR(INDEX(Obras!$B$5:$B$54,MATCH(G47,Obras!$A$5:$A$54,0)),"")</f>
        <v/>
      </c>
      <c r="I47" s="27"/>
      <c r="J47" s="21"/>
      <c r="K47" s="21"/>
    </row>
    <row r="48" spans="1:11" x14ac:dyDescent="0.2">
      <c r="A48" s="25"/>
      <c r="B48" s="28"/>
      <c r="C48" s="25"/>
      <c r="D48" s="29" t="str">
        <f>IFERROR(INDEX('Catalogo Materiales'!$B$5:$B$24,MATCH(C48,'Catalogo Materiales'!$A$5:$A$24,0)),"")</f>
        <v/>
      </c>
      <c r="E48" s="30" t="str">
        <f>IFERROR(INDEX('Catalogo Materiales'!$D$5:$D$24,MATCH(C48,'Catalogo Materiales'!$A$5:$A$24,0)),"")</f>
        <v/>
      </c>
      <c r="F48" s="25"/>
      <c r="G48" s="25"/>
      <c r="H48" s="29" t="str">
        <f>IFERROR(INDEX(Obras!$B$5:$B$54,MATCH(G48,Obras!$A$5:$A$54,0)),"")</f>
        <v/>
      </c>
      <c r="I48" s="27"/>
      <c r="J48" s="21"/>
      <c r="K48" s="21"/>
    </row>
    <row r="49" spans="1:11" x14ac:dyDescent="0.2">
      <c r="A49" s="25"/>
      <c r="B49" s="28"/>
      <c r="C49" s="25"/>
      <c r="D49" s="29" t="str">
        <f>IFERROR(INDEX('Catalogo Materiales'!$B$5:$B$24,MATCH(C49,'Catalogo Materiales'!$A$5:$A$24,0)),"")</f>
        <v/>
      </c>
      <c r="E49" s="30" t="str">
        <f>IFERROR(INDEX('Catalogo Materiales'!$D$5:$D$24,MATCH(C49,'Catalogo Materiales'!$A$5:$A$24,0)),"")</f>
        <v/>
      </c>
      <c r="F49" s="25"/>
      <c r="G49" s="25"/>
      <c r="H49" s="29" t="str">
        <f>IFERROR(INDEX(Obras!$B$5:$B$54,MATCH(G49,Obras!$A$5:$A$54,0)),"")</f>
        <v/>
      </c>
      <c r="I49" s="27"/>
      <c r="J49" s="21"/>
      <c r="K49" s="21"/>
    </row>
    <row r="50" spans="1:11" x14ac:dyDescent="0.2">
      <c r="A50" s="25"/>
      <c r="B50" s="28"/>
      <c r="C50" s="25"/>
      <c r="D50" s="29" t="str">
        <f>IFERROR(INDEX('Catalogo Materiales'!$B$5:$B$24,MATCH(C50,'Catalogo Materiales'!$A$5:$A$24,0)),"")</f>
        <v/>
      </c>
      <c r="E50" s="30" t="str">
        <f>IFERROR(INDEX('Catalogo Materiales'!$D$5:$D$24,MATCH(C50,'Catalogo Materiales'!$A$5:$A$24,0)),"")</f>
        <v/>
      </c>
      <c r="F50" s="25"/>
      <c r="G50" s="25"/>
      <c r="H50" s="29" t="str">
        <f>IFERROR(INDEX(Obras!$B$5:$B$54,MATCH(G50,Obras!$A$5:$A$54,0)),"")</f>
        <v/>
      </c>
      <c r="I50" s="27"/>
      <c r="J50" s="21"/>
      <c r="K50" s="21"/>
    </row>
    <row r="51" spans="1:11" x14ac:dyDescent="0.2">
      <c r="A51" s="25"/>
      <c r="B51" s="28"/>
      <c r="C51" s="25"/>
      <c r="D51" s="29" t="str">
        <f>IFERROR(INDEX('Catalogo Materiales'!$B$5:$B$24,MATCH(C51,'Catalogo Materiales'!$A$5:$A$24,0)),"")</f>
        <v/>
      </c>
      <c r="E51" s="30" t="str">
        <f>IFERROR(INDEX('Catalogo Materiales'!$D$5:$D$24,MATCH(C51,'Catalogo Materiales'!$A$5:$A$24,0)),"")</f>
        <v/>
      </c>
      <c r="F51" s="25"/>
      <c r="G51" s="25"/>
      <c r="H51" s="29" t="str">
        <f>IFERROR(INDEX(Obras!$B$5:$B$54,MATCH(G51,Obras!$A$5:$A$54,0)),"")</f>
        <v/>
      </c>
      <c r="I51" s="27"/>
      <c r="J51" s="21"/>
      <c r="K51" s="21"/>
    </row>
    <row r="52" spans="1:11" x14ac:dyDescent="0.2">
      <c r="A52" s="25"/>
      <c r="B52" s="28"/>
      <c r="C52" s="25"/>
      <c r="D52" s="29" t="str">
        <f>IFERROR(INDEX('Catalogo Materiales'!$B$5:$B$24,MATCH(C52,'Catalogo Materiales'!$A$5:$A$24,0)),"")</f>
        <v/>
      </c>
      <c r="E52" s="30" t="str">
        <f>IFERROR(INDEX('Catalogo Materiales'!$D$5:$D$24,MATCH(C52,'Catalogo Materiales'!$A$5:$A$24,0)),"")</f>
        <v/>
      </c>
      <c r="F52" s="25"/>
      <c r="G52" s="25"/>
      <c r="H52" s="29" t="str">
        <f>IFERROR(INDEX(Obras!$B$5:$B$54,MATCH(G52,Obras!$A$5:$A$54,0)),"")</f>
        <v/>
      </c>
      <c r="I52" s="27"/>
      <c r="J52" s="21"/>
      <c r="K52" s="21"/>
    </row>
    <row r="53" spans="1:11" x14ac:dyDescent="0.2">
      <c r="A53" s="25"/>
      <c r="B53" s="28"/>
      <c r="C53" s="25"/>
      <c r="D53" s="29" t="str">
        <f>IFERROR(INDEX('Catalogo Materiales'!$B$5:$B$24,MATCH(C53,'Catalogo Materiales'!$A$5:$A$24,0)),"")</f>
        <v/>
      </c>
      <c r="E53" s="30" t="str">
        <f>IFERROR(INDEX('Catalogo Materiales'!$D$5:$D$24,MATCH(C53,'Catalogo Materiales'!$A$5:$A$24,0)),"")</f>
        <v/>
      </c>
      <c r="F53" s="25"/>
      <c r="G53" s="25"/>
      <c r="H53" s="29" t="str">
        <f>IFERROR(INDEX(Obras!$B$5:$B$54,MATCH(G53,Obras!$A$5:$A$54,0)),"")</f>
        <v/>
      </c>
      <c r="I53" s="27"/>
      <c r="J53" s="21"/>
      <c r="K53" s="21"/>
    </row>
    <row r="54" spans="1:11" x14ac:dyDescent="0.2">
      <c r="A54" s="25"/>
      <c r="B54" s="28"/>
      <c r="C54" s="25"/>
      <c r="D54" s="29" t="str">
        <f>IFERROR(INDEX('Catalogo Materiales'!$B$5:$B$24,MATCH(C54,'Catalogo Materiales'!$A$5:$A$24,0)),"")</f>
        <v/>
      </c>
      <c r="E54" s="30" t="str">
        <f>IFERROR(INDEX('Catalogo Materiales'!$D$5:$D$24,MATCH(C54,'Catalogo Materiales'!$A$5:$A$24,0)),"")</f>
        <v/>
      </c>
      <c r="F54" s="25"/>
      <c r="G54" s="25"/>
      <c r="H54" s="29" t="str">
        <f>IFERROR(INDEX(Obras!$B$5:$B$54,MATCH(G54,Obras!$A$5:$A$54,0)),"")</f>
        <v/>
      </c>
      <c r="I54" s="27"/>
      <c r="J54" s="21"/>
      <c r="K54" s="21"/>
    </row>
    <row r="55" spans="1:11" x14ac:dyDescent="0.2">
      <c r="A55" s="25"/>
      <c r="B55" s="28"/>
      <c r="C55" s="25"/>
      <c r="D55" s="29" t="str">
        <f>IFERROR(INDEX('Catalogo Materiales'!$B$5:$B$24,MATCH(C55,'Catalogo Materiales'!$A$5:$A$24,0)),"")</f>
        <v/>
      </c>
      <c r="E55" s="30" t="str">
        <f>IFERROR(INDEX('Catalogo Materiales'!$D$5:$D$24,MATCH(C55,'Catalogo Materiales'!$A$5:$A$24,0)),"")</f>
        <v/>
      </c>
      <c r="F55" s="25"/>
      <c r="G55" s="25"/>
      <c r="H55" s="29" t="str">
        <f>IFERROR(INDEX(Obras!$B$5:$B$54,MATCH(G55,Obras!$A$5:$A$54,0)),"")</f>
        <v/>
      </c>
      <c r="I55" s="27"/>
      <c r="J55" s="21"/>
      <c r="K55" s="21"/>
    </row>
    <row r="56" spans="1:11" x14ac:dyDescent="0.2">
      <c r="A56" s="25"/>
      <c r="B56" s="28"/>
      <c r="C56" s="25"/>
      <c r="D56" s="29" t="str">
        <f>IFERROR(INDEX('Catalogo Materiales'!$B$5:$B$24,MATCH(C56,'Catalogo Materiales'!$A$5:$A$24,0)),"")</f>
        <v/>
      </c>
      <c r="E56" s="30" t="str">
        <f>IFERROR(INDEX('Catalogo Materiales'!$D$5:$D$24,MATCH(C56,'Catalogo Materiales'!$A$5:$A$24,0)),"")</f>
        <v/>
      </c>
      <c r="F56" s="25"/>
      <c r="G56" s="25"/>
      <c r="H56" s="29" t="str">
        <f>IFERROR(INDEX(Obras!$B$5:$B$54,MATCH(G56,Obras!$A$5:$A$54,0)),"")</f>
        <v/>
      </c>
      <c r="I56" s="27"/>
      <c r="J56" s="21"/>
      <c r="K56" s="21"/>
    </row>
    <row r="57" spans="1:11" x14ac:dyDescent="0.2">
      <c r="A57" s="25"/>
      <c r="B57" s="28"/>
      <c r="C57" s="25"/>
      <c r="D57" s="29" t="str">
        <f>IFERROR(INDEX('Catalogo Materiales'!$B$5:$B$24,MATCH(C57,'Catalogo Materiales'!$A$5:$A$24,0)),"")</f>
        <v/>
      </c>
      <c r="E57" s="30" t="str">
        <f>IFERROR(INDEX('Catalogo Materiales'!$D$5:$D$24,MATCH(C57,'Catalogo Materiales'!$A$5:$A$24,0)),"")</f>
        <v/>
      </c>
      <c r="F57" s="25"/>
      <c r="G57" s="25"/>
      <c r="H57" s="29" t="str">
        <f>IFERROR(INDEX(Obras!$B$5:$B$54,MATCH(G57,Obras!$A$5:$A$54,0)),"")</f>
        <v/>
      </c>
      <c r="I57" s="27"/>
      <c r="J57" s="21"/>
      <c r="K57" s="21"/>
    </row>
    <row r="58" spans="1:11" x14ac:dyDescent="0.2">
      <c r="A58" s="25"/>
      <c r="B58" s="28"/>
      <c r="C58" s="25"/>
      <c r="D58" s="29" t="str">
        <f>IFERROR(INDEX('Catalogo Materiales'!$B$5:$B$24,MATCH(C58,'Catalogo Materiales'!$A$5:$A$24,0)),"")</f>
        <v/>
      </c>
      <c r="E58" s="30" t="str">
        <f>IFERROR(INDEX('Catalogo Materiales'!$D$5:$D$24,MATCH(C58,'Catalogo Materiales'!$A$5:$A$24,0)),"")</f>
        <v/>
      </c>
      <c r="F58" s="25"/>
      <c r="G58" s="25"/>
      <c r="H58" s="29" t="str">
        <f>IFERROR(INDEX(Obras!$B$5:$B$54,MATCH(G58,Obras!$A$5:$A$54,0)),"")</f>
        <v/>
      </c>
      <c r="I58" s="27"/>
      <c r="J58" s="21"/>
      <c r="K58" s="21"/>
    </row>
    <row r="59" spans="1:11" x14ac:dyDescent="0.2">
      <c r="A59" s="25"/>
      <c r="B59" s="28"/>
      <c r="C59" s="25"/>
      <c r="D59" s="29" t="str">
        <f>IFERROR(INDEX('Catalogo Materiales'!$B$5:$B$24,MATCH(C59,'Catalogo Materiales'!$A$5:$A$24,0)),"")</f>
        <v/>
      </c>
      <c r="E59" s="30" t="str">
        <f>IFERROR(INDEX('Catalogo Materiales'!$D$5:$D$24,MATCH(C59,'Catalogo Materiales'!$A$5:$A$24,0)),"")</f>
        <v/>
      </c>
      <c r="F59" s="25"/>
      <c r="G59" s="25"/>
      <c r="H59" s="29" t="str">
        <f>IFERROR(INDEX(Obras!$B$5:$B$54,MATCH(G59,Obras!$A$5:$A$54,0)),"")</f>
        <v/>
      </c>
      <c r="I59" s="27"/>
      <c r="J59" s="21"/>
      <c r="K59" s="21"/>
    </row>
    <row r="60" spans="1:11" x14ac:dyDescent="0.2">
      <c r="A60" s="25"/>
      <c r="B60" s="28"/>
      <c r="C60" s="25"/>
      <c r="D60" s="29" t="str">
        <f>IFERROR(INDEX('Catalogo Materiales'!$B$5:$B$24,MATCH(C60,'Catalogo Materiales'!$A$5:$A$24,0)),"")</f>
        <v/>
      </c>
      <c r="E60" s="30" t="str">
        <f>IFERROR(INDEX('Catalogo Materiales'!$D$5:$D$24,MATCH(C60,'Catalogo Materiales'!$A$5:$A$24,0)),"")</f>
        <v/>
      </c>
      <c r="F60" s="25"/>
      <c r="G60" s="25"/>
      <c r="H60" s="29" t="str">
        <f>IFERROR(INDEX(Obras!$B$5:$B$54,MATCH(G60,Obras!$A$5:$A$54,0)),"")</f>
        <v/>
      </c>
      <c r="I60" s="27"/>
      <c r="J60" s="21"/>
      <c r="K60" s="21"/>
    </row>
  </sheetData>
  <mergeCells count="2">
    <mergeCell ref="A1:K1"/>
    <mergeCell ref="A2:K2"/>
  </mergeCells>
  <dataValidations count="1">
    <dataValidation type="list" allowBlank="1" sqref="F5:F60" xr:uid="{00000000-0002-0000-0400-000001000000}">
      <formula1>"Entrada a Bodega,Salida a Obra,Consumo en Obra,Devolucion a Bodega"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'Catalogo Materiales'!$A$5:$A$24</xm:f>
          </x14:formula1>
          <x14:formula2>
            <xm:f>0</xm:f>
          </x14:formula2>
          <xm:sqref>C5:C60</xm:sqref>
        </x14:dataValidation>
        <x14:dataValidation type="list" allowBlank="1" xr:uid="{00000000-0002-0000-0400-000002000000}">
          <x14:formula1>
            <xm:f>Obras!$A$5:$A$54</xm:f>
          </x14:formula1>
          <x14:formula2>
            <xm:f>0</xm:f>
          </x14:formula2>
          <xm:sqref>G5:G60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34.03125" customWidth="1"/>
    <col min="3" max="3" width="20.04296875" customWidth="1"/>
    <col min="4" max="4" width="9.953125" customWidth="1"/>
    <col min="5" max="7" width="16.0078125" customWidth="1"/>
    <col min="8" max="8" width="13.98828125" customWidth="1"/>
    <col min="9" max="9" width="11.97265625" customWidth="1"/>
    <col min="10" max="10" width="13.98828125" customWidth="1"/>
  </cols>
  <sheetData>
    <row r="1" spans="1:10" ht="21.75" customHeight="1" x14ac:dyDescent="0.2">
      <c r="A1" s="14" t="s">
        <v>173</v>
      </c>
      <c r="B1" s="14"/>
      <c r="C1" s="14"/>
      <c r="D1" s="14"/>
      <c r="E1" s="14"/>
      <c r="F1" s="14"/>
      <c r="G1" s="14"/>
      <c r="H1" s="14"/>
      <c r="I1" s="14"/>
    </row>
    <row r="2" spans="1:10" ht="15.75" customHeight="1" x14ac:dyDescent="0.2">
      <c r="A2" s="13" t="s">
        <v>174</v>
      </c>
      <c r="B2" s="13"/>
      <c r="C2" s="13"/>
      <c r="D2" s="13"/>
      <c r="E2" s="13"/>
      <c r="F2" s="13"/>
      <c r="G2" s="13"/>
      <c r="H2" s="13"/>
      <c r="I2" s="13"/>
    </row>
    <row r="4" spans="1:10" ht="24.75" x14ac:dyDescent="0.2">
      <c r="A4" s="24" t="s">
        <v>175</v>
      </c>
      <c r="B4" s="24" t="s">
        <v>69</v>
      </c>
      <c r="C4" s="24" t="s">
        <v>176</v>
      </c>
      <c r="D4" s="24" t="s">
        <v>71</v>
      </c>
      <c r="E4" s="24" t="s">
        <v>177</v>
      </c>
      <c r="F4" s="24" t="s">
        <v>178</v>
      </c>
      <c r="G4" s="24" t="s">
        <v>179</v>
      </c>
      <c r="H4" s="24" t="s">
        <v>180</v>
      </c>
      <c r="I4" s="24" t="s">
        <v>181</v>
      </c>
      <c r="J4" s="24" t="s">
        <v>127</v>
      </c>
    </row>
    <row r="5" spans="1:10" x14ac:dyDescent="0.2">
      <c r="A5" s="30" t="str">
        <f>'Catalogo Materiales'!A5</f>
        <v>MAT-001</v>
      </c>
      <c r="B5" s="29" t="str">
        <f>'Catalogo Materiales'!B5</f>
        <v>Tubería PVC 1/2"</v>
      </c>
      <c r="C5" s="29" t="str">
        <f>'Catalogo Materiales'!C5</f>
        <v>Plomería</v>
      </c>
      <c r="D5" s="30" t="str">
        <f>'Catalogo Materiales'!D5</f>
        <v>m</v>
      </c>
      <c r="E5" s="31">
        <f>SUMIFS(Movimientos!$I$5:$I$60,Movimientos!$C$5:$C$60,A5,Movimientos!$F$5:$F$60,"Entrada a Bodega")</f>
        <v>400</v>
      </c>
      <c r="F5" s="31">
        <f>SUMIFS(Movimientos!$I$5:$I$60,Movimientos!$C$5:$C$60,A5,Movimientos!$F$5:$F$60,"Salida a Obra")</f>
        <v>150</v>
      </c>
      <c r="G5" s="31">
        <f>SUMIFS(Movimientos!$I$5:$I$60,Movimientos!$C$5:$C$60,A5,Movimientos!$F$5:$F$60,"Devolucion a Bodega")</f>
        <v>10</v>
      </c>
      <c r="H5" s="32">
        <f>E5-F5+G5</f>
        <v>260</v>
      </c>
      <c r="I5" s="31">
        <f>'Catalogo Materiales'!F5</f>
        <v>200</v>
      </c>
      <c r="J5" s="30" t="str">
        <f>IF(H5&lt;I5,"REABASTECER","OK")</f>
        <v>OK</v>
      </c>
    </row>
    <row r="6" spans="1:10" x14ac:dyDescent="0.2">
      <c r="A6" s="30" t="str">
        <f>'Catalogo Materiales'!A6</f>
        <v>MAT-002</v>
      </c>
      <c r="B6" s="29" t="str">
        <f>'Catalogo Materiales'!B6</f>
        <v>Tubería PVC 3/4"</v>
      </c>
      <c r="C6" s="29" t="str">
        <f>'Catalogo Materiales'!C6</f>
        <v>Plomería</v>
      </c>
      <c r="D6" s="30" t="str">
        <f>'Catalogo Materiales'!D6</f>
        <v>m</v>
      </c>
      <c r="E6" s="31">
        <f>SUMIFS(Movimientos!$I$5:$I$60,Movimientos!$C$5:$C$60,A6,Movimientos!$F$5:$F$60,"Entrada a Bodega")</f>
        <v>0</v>
      </c>
      <c r="F6" s="31">
        <f>SUMIFS(Movimientos!$I$5:$I$60,Movimientos!$C$5:$C$60,A6,Movimientos!$F$5:$F$60,"Salida a Obra")</f>
        <v>0</v>
      </c>
      <c r="G6" s="31">
        <f>SUMIFS(Movimientos!$I$5:$I$60,Movimientos!$C$5:$C$60,A6,Movimientos!$F$5:$F$60,"Devolucion a Bodega")</f>
        <v>0</v>
      </c>
      <c r="H6" s="32">
        <f>E6-F6+G6</f>
        <v>0</v>
      </c>
      <c r="I6" s="31">
        <f>'Catalogo Materiales'!F6</f>
        <v>150</v>
      </c>
      <c r="J6" s="30" t="str">
        <f>IF(H6&lt;I6,"REABASTECER","OK")</f>
        <v>REABASTECER</v>
      </c>
    </row>
    <row r="7" spans="1:10" x14ac:dyDescent="0.2">
      <c r="A7" s="30" t="str">
        <f>'Catalogo Materiales'!A7</f>
        <v>MAT-003</v>
      </c>
      <c r="B7" s="29" t="str">
        <f>'Catalogo Materiales'!B7</f>
        <v>Tubería Conduit EMT 1/2"</v>
      </c>
      <c r="C7" s="29" t="str">
        <f>'Catalogo Materiales'!C7</f>
        <v>Eléctrico</v>
      </c>
      <c r="D7" s="30" t="str">
        <f>'Catalogo Materiales'!D7</f>
        <v>m</v>
      </c>
      <c r="E7" s="31">
        <f>SUMIFS(Movimientos!$I$5:$I$60,Movimientos!$C$5:$C$60,A7,Movimientos!$F$5:$F$60,"Entrada a Bodega")</f>
        <v>0</v>
      </c>
      <c r="F7" s="31">
        <f>SUMIFS(Movimientos!$I$5:$I$60,Movimientos!$C$5:$C$60,A7,Movimientos!$F$5:$F$60,"Salida a Obra")</f>
        <v>0</v>
      </c>
      <c r="G7" s="31">
        <f>SUMIFS(Movimientos!$I$5:$I$60,Movimientos!$C$5:$C$60,A7,Movimientos!$F$5:$F$60,"Devolucion a Bodega")</f>
        <v>0</v>
      </c>
      <c r="H7" s="32">
        <f>E7-F7+G7</f>
        <v>0</v>
      </c>
      <c r="I7" s="31">
        <f>'Catalogo Materiales'!F7</f>
        <v>200</v>
      </c>
      <c r="J7" s="30" t="str">
        <f>IF(H7&lt;I7,"REABASTECER","OK")</f>
        <v>REABASTECER</v>
      </c>
    </row>
    <row r="8" spans="1:10" x14ac:dyDescent="0.2">
      <c r="A8" s="30" t="str">
        <f>'Catalogo Materiales'!A8</f>
        <v>MAT-004</v>
      </c>
      <c r="B8" s="29" t="str">
        <f>'Catalogo Materiales'!B8</f>
        <v>Cable THHW Cal. 12</v>
      </c>
      <c r="C8" s="29" t="str">
        <f>'Catalogo Materiales'!C8</f>
        <v>Eléctrico</v>
      </c>
      <c r="D8" s="30" t="str">
        <f>'Catalogo Materiales'!D8</f>
        <v>m</v>
      </c>
      <c r="E8" s="31">
        <f>SUMIFS(Movimientos!$I$5:$I$60,Movimientos!$C$5:$C$60,A8,Movimientos!$F$5:$F$60,"Entrada a Bodega")</f>
        <v>1000</v>
      </c>
      <c r="F8" s="31">
        <f>SUMIFS(Movimientos!$I$5:$I$60,Movimientos!$C$5:$C$60,A8,Movimientos!$F$5:$F$60,"Salida a Obra")</f>
        <v>300</v>
      </c>
      <c r="G8" s="31">
        <f>SUMIFS(Movimientos!$I$5:$I$60,Movimientos!$C$5:$C$60,A8,Movimientos!$F$5:$F$60,"Devolucion a Bodega")</f>
        <v>0</v>
      </c>
      <c r="H8" s="32">
        <f>E8-F8+G8</f>
        <v>700</v>
      </c>
      <c r="I8" s="31">
        <f>'Catalogo Materiales'!F8</f>
        <v>500</v>
      </c>
      <c r="J8" s="30" t="str">
        <f>IF(H8&lt;I8,"REABASTECER","OK")</f>
        <v>OK</v>
      </c>
    </row>
    <row r="9" spans="1:10" x14ac:dyDescent="0.2">
      <c r="A9" s="30" t="str">
        <f>'Catalogo Materiales'!A9</f>
        <v>MAT-005</v>
      </c>
      <c r="B9" s="29" t="str">
        <f>'Catalogo Materiales'!B9</f>
        <v>Cable THHW Cal. 10</v>
      </c>
      <c r="C9" s="29" t="str">
        <f>'Catalogo Materiales'!C9</f>
        <v>Eléctrico</v>
      </c>
      <c r="D9" s="30" t="str">
        <f>'Catalogo Materiales'!D9</f>
        <v>m</v>
      </c>
      <c r="E9" s="31">
        <f>SUMIFS(Movimientos!$I$5:$I$60,Movimientos!$C$5:$C$60,A9,Movimientos!$F$5:$F$60,"Entrada a Bodega")</f>
        <v>0</v>
      </c>
      <c r="F9" s="31">
        <f>SUMIFS(Movimientos!$I$5:$I$60,Movimientos!$C$5:$C$60,A9,Movimientos!$F$5:$F$60,"Salida a Obra")</f>
        <v>0</v>
      </c>
      <c r="G9" s="31">
        <f>SUMIFS(Movimientos!$I$5:$I$60,Movimientos!$C$5:$C$60,A9,Movimientos!$F$5:$F$60,"Devolucion a Bodega")</f>
        <v>0</v>
      </c>
      <c r="H9" s="32">
        <f>E9-F9+G9</f>
        <v>0</v>
      </c>
      <c r="I9" s="31">
        <f>'Catalogo Materiales'!F9</f>
        <v>300</v>
      </c>
      <c r="J9" s="30" t="str">
        <f>IF(H9&lt;I9,"REABASTECER","OK")</f>
        <v>REABASTECER</v>
      </c>
    </row>
    <row r="10" spans="1:10" x14ac:dyDescent="0.2">
      <c r="A10" s="30" t="str">
        <f>'Catalogo Materiales'!A10</f>
        <v>MAT-006</v>
      </c>
      <c r="B10" s="29" t="str">
        <f>'Catalogo Materiales'!B10</f>
        <v>Contacto Duplex Estándar</v>
      </c>
      <c r="C10" s="29" t="str">
        <f>'Catalogo Materiales'!C10</f>
        <v>Eléctrico</v>
      </c>
      <c r="D10" s="30" t="str">
        <f>'Catalogo Materiales'!D10</f>
        <v>pza</v>
      </c>
      <c r="E10" s="31">
        <f>SUMIFS(Movimientos!$I$5:$I$60,Movimientos!$C$5:$C$60,A10,Movimientos!$F$5:$F$60,"Entrada a Bodega")</f>
        <v>0</v>
      </c>
      <c r="F10" s="31">
        <f>SUMIFS(Movimientos!$I$5:$I$60,Movimientos!$C$5:$C$60,A10,Movimientos!$F$5:$F$60,"Salida a Obra")</f>
        <v>0</v>
      </c>
      <c r="G10" s="31">
        <f>SUMIFS(Movimientos!$I$5:$I$60,Movimientos!$C$5:$C$60,A10,Movimientos!$F$5:$F$60,"Devolucion a Bodega")</f>
        <v>0</v>
      </c>
      <c r="H10" s="32">
        <f>E10-F10+G10</f>
        <v>0</v>
      </c>
      <c r="I10" s="31">
        <f>'Catalogo Materiales'!F10</f>
        <v>100</v>
      </c>
      <c r="J10" s="30" t="str">
        <f>IF(H10&lt;I10,"REABASTECER","OK")</f>
        <v>REABASTECER</v>
      </c>
    </row>
    <row r="11" spans="1:10" x14ac:dyDescent="0.2">
      <c r="A11" s="30" t="str">
        <f>'Catalogo Materiales'!A11</f>
        <v>MAT-007</v>
      </c>
      <c r="B11" s="29" t="str">
        <f>'Catalogo Materiales'!B11</f>
        <v>Contacto GFCI</v>
      </c>
      <c r="C11" s="29" t="str">
        <f>'Catalogo Materiales'!C11</f>
        <v>Eléctrico</v>
      </c>
      <c r="D11" s="30" t="str">
        <f>'Catalogo Materiales'!D11</f>
        <v>pza</v>
      </c>
      <c r="E11" s="31">
        <f>SUMIFS(Movimientos!$I$5:$I$60,Movimientos!$C$5:$C$60,A11,Movimientos!$F$5:$F$60,"Entrada a Bodega")</f>
        <v>0</v>
      </c>
      <c r="F11" s="31">
        <f>SUMIFS(Movimientos!$I$5:$I$60,Movimientos!$C$5:$C$60,A11,Movimientos!$F$5:$F$60,"Salida a Obra")</f>
        <v>0</v>
      </c>
      <c r="G11" s="31">
        <f>SUMIFS(Movimientos!$I$5:$I$60,Movimientos!$C$5:$C$60,A11,Movimientos!$F$5:$F$60,"Devolucion a Bodega")</f>
        <v>0</v>
      </c>
      <c r="H11" s="32">
        <f>E11-F11+G11</f>
        <v>0</v>
      </c>
      <c r="I11" s="31">
        <f>'Catalogo Materiales'!F11</f>
        <v>40</v>
      </c>
      <c r="J11" s="30" t="str">
        <f>IF(H11&lt;I11,"REABASTECER","OK")</f>
        <v>REABASTECER</v>
      </c>
    </row>
    <row r="12" spans="1:10" x14ac:dyDescent="0.2">
      <c r="A12" s="30" t="str">
        <f>'Catalogo Materiales'!A12</f>
        <v>MAT-008</v>
      </c>
      <c r="B12" s="29" t="str">
        <f>'Catalogo Materiales'!B12</f>
        <v>Apagador Sencillo</v>
      </c>
      <c r="C12" s="29" t="str">
        <f>'Catalogo Materiales'!C12</f>
        <v>Eléctrico</v>
      </c>
      <c r="D12" s="30" t="str">
        <f>'Catalogo Materiales'!D12</f>
        <v>pza</v>
      </c>
      <c r="E12" s="31">
        <f>SUMIFS(Movimientos!$I$5:$I$60,Movimientos!$C$5:$C$60,A12,Movimientos!$F$5:$F$60,"Entrada a Bodega")</f>
        <v>0</v>
      </c>
      <c r="F12" s="31">
        <f>SUMIFS(Movimientos!$I$5:$I$60,Movimientos!$C$5:$C$60,A12,Movimientos!$F$5:$F$60,"Salida a Obra")</f>
        <v>0</v>
      </c>
      <c r="G12" s="31">
        <f>SUMIFS(Movimientos!$I$5:$I$60,Movimientos!$C$5:$C$60,A12,Movimientos!$F$5:$F$60,"Devolucion a Bodega")</f>
        <v>0</v>
      </c>
      <c r="H12" s="32">
        <f>E12-F12+G12</f>
        <v>0</v>
      </c>
      <c r="I12" s="31">
        <f>'Catalogo Materiales'!F12</f>
        <v>80</v>
      </c>
      <c r="J12" s="30" t="str">
        <f>IF(H12&lt;I12,"REABASTECER","OK")</f>
        <v>REABASTECER</v>
      </c>
    </row>
    <row r="13" spans="1:10" x14ac:dyDescent="0.2">
      <c r="A13" s="30" t="str">
        <f>'Catalogo Materiales'!A13</f>
        <v>MAT-009</v>
      </c>
      <c r="B13" s="29" t="str">
        <f>'Catalogo Materiales'!B13</f>
        <v>Luminaria LED Empotrable 6"</v>
      </c>
      <c r="C13" s="29" t="str">
        <f>'Catalogo Materiales'!C13</f>
        <v>Eléctrico</v>
      </c>
      <c r="D13" s="30" t="str">
        <f>'Catalogo Materiales'!D13</f>
        <v>pza</v>
      </c>
      <c r="E13" s="31">
        <f>SUMIFS(Movimientos!$I$5:$I$60,Movimientos!$C$5:$C$60,A13,Movimientos!$F$5:$F$60,"Entrada a Bodega")</f>
        <v>80</v>
      </c>
      <c r="F13" s="31">
        <f>SUMIFS(Movimientos!$I$5:$I$60,Movimientos!$C$5:$C$60,A13,Movimientos!$F$5:$F$60,"Salida a Obra")</f>
        <v>40</v>
      </c>
      <c r="G13" s="31">
        <f>SUMIFS(Movimientos!$I$5:$I$60,Movimientos!$C$5:$C$60,A13,Movimientos!$F$5:$F$60,"Devolucion a Bodega")</f>
        <v>0</v>
      </c>
      <c r="H13" s="32">
        <f>E13-F13+G13</f>
        <v>40</v>
      </c>
      <c r="I13" s="31">
        <f>'Catalogo Materiales'!F13</f>
        <v>60</v>
      </c>
      <c r="J13" s="30" t="str">
        <f>IF(H13&lt;I13,"REABASTECER","OK")</f>
        <v>REABASTECER</v>
      </c>
    </row>
    <row r="14" spans="1:10" x14ac:dyDescent="0.2">
      <c r="A14" s="30" t="str">
        <f>'Catalogo Materiales'!A14</f>
        <v>MAT-010</v>
      </c>
      <c r="B14" s="29" t="str">
        <f>'Catalogo Materiales'!B14</f>
        <v>Luminaria LED Panel 2x2</v>
      </c>
      <c r="C14" s="29" t="str">
        <f>'Catalogo Materiales'!C14</f>
        <v>Eléctrico</v>
      </c>
      <c r="D14" s="30" t="str">
        <f>'Catalogo Materiales'!D14</f>
        <v>pza</v>
      </c>
      <c r="E14" s="31">
        <f>SUMIFS(Movimientos!$I$5:$I$60,Movimientos!$C$5:$C$60,A14,Movimientos!$F$5:$F$60,"Entrada a Bodega")</f>
        <v>0</v>
      </c>
      <c r="F14" s="31">
        <f>SUMIFS(Movimientos!$I$5:$I$60,Movimientos!$C$5:$C$60,A14,Movimientos!$F$5:$F$60,"Salida a Obra")</f>
        <v>0</v>
      </c>
      <c r="G14" s="31">
        <f>SUMIFS(Movimientos!$I$5:$I$60,Movimientos!$C$5:$C$60,A14,Movimientos!$F$5:$F$60,"Devolucion a Bodega")</f>
        <v>0</v>
      </c>
      <c r="H14" s="32">
        <f>E14-F14+G14</f>
        <v>0</v>
      </c>
      <c r="I14" s="31">
        <f>'Catalogo Materiales'!F14</f>
        <v>30</v>
      </c>
      <c r="J14" s="30" t="str">
        <f>IF(H14&lt;I14,"REABASTECER","OK")</f>
        <v>REABASTECER</v>
      </c>
    </row>
    <row r="15" spans="1:10" x14ac:dyDescent="0.2">
      <c r="A15" s="30" t="str">
        <f>'Catalogo Materiales'!A15</f>
        <v>MAT-011</v>
      </c>
      <c r="B15" s="29" t="str">
        <f>'Catalogo Materiales'!B15</f>
        <v>Coples PVC 1/2"</v>
      </c>
      <c r="C15" s="29" t="str">
        <f>'Catalogo Materiales'!C15</f>
        <v>Plomería</v>
      </c>
      <c r="D15" s="30" t="str">
        <f>'Catalogo Materiales'!D15</f>
        <v>pza</v>
      </c>
      <c r="E15" s="31">
        <f>SUMIFS(Movimientos!$I$5:$I$60,Movimientos!$C$5:$C$60,A15,Movimientos!$F$5:$F$60,"Entrada a Bodega")</f>
        <v>0</v>
      </c>
      <c r="F15" s="31">
        <f>SUMIFS(Movimientos!$I$5:$I$60,Movimientos!$C$5:$C$60,A15,Movimientos!$F$5:$F$60,"Salida a Obra")</f>
        <v>0</v>
      </c>
      <c r="G15" s="31">
        <f>SUMIFS(Movimientos!$I$5:$I$60,Movimientos!$C$5:$C$60,A15,Movimientos!$F$5:$F$60,"Devolucion a Bodega")</f>
        <v>0</v>
      </c>
      <c r="H15" s="32">
        <f>E15-F15+G15</f>
        <v>0</v>
      </c>
      <c r="I15" s="31">
        <f>'Catalogo Materiales'!F15</f>
        <v>300</v>
      </c>
      <c r="J15" s="30" t="str">
        <f>IF(H15&lt;I15,"REABASTECER","OK")</f>
        <v>REABASTECER</v>
      </c>
    </row>
    <row r="16" spans="1:10" x14ac:dyDescent="0.2">
      <c r="A16" s="30" t="str">
        <f>'Catalogo Materiales'!A16</f>
        <v>MAT-012</v>
      </c>
      <c r="B16" s="29" t="str">
        <f>'Catalogo Materiales'!B16</f>
        <v>Codo PVC 90° 1/2"</v>
      </c>
      <c r="C16" s="29" t="str">
        <f>'Catalogo Materiales'!C16</f>
        <v>Plomería</v>
      </c>
      <c r="D16" s="30" t="str">
        <f>'Catalogo Materiales'!D16</f>
        <v>pza</v>
      </c>
      <c r="E16" s="31">
        <f>SUMIFS(Movimientos!$I$5:$I$60,Movimientos!$C$5:$C$60,A16,Movimientos!$F$5:$F$60,"Entrada a Bodega")</f>
        <v>0</v>
      </c>
      <c r="F16" s="31">
        <f>SUMIFS(Movimientos!$I$5:$I$60,Movimientos!$C$5:$C$60,A16,Movimientos!$F$5:$F$60,"Salida a Obra")</f>
        <v>0</v>
      </c>
      <c r="G16" s="31">
        <f>SUMIFS(Movimientos!$I$5:$I$60,Movimientos!$C$5:$C$60,A16,Movimientos!$F$5:$F$60,"Devolucion a Bodega")</f>
        <v>0</v>
      </c>
      <c r="H16" s="32">
        <f>E16-F16+G16</f>
        <v>0</v>
      </c>
      <c r="I16" s="31">
        <f>'Catalogo Materiales'!F16</f>
        <v>250</v>
      </c>
      <c r="J16" s="30" t="str">
        <f>IF(H16&lt;I16,"REABASTECER","OK")</f>
        <v>REABASTECER</v>
      </c>
    </row>
    <row r="17" spans="1:10" x14ac:dyDescent="0.2">
      <c r="A17" s="30" t="str">
        <f>'Catalogo Materiales'!A17</f>
        <v>MAT-013</v>
      </c>
      <c r="B17" s="29" t="str">
        <f>'Catalogo Materiales'!B17</f>
        <v>Válvula de Esfera 1/2"</v>
      </c>
      <c r="C17" s="29" t="str">
        <f>'Catalogo Materiales'!C17</f>
        <v>Plomería</v>
      </c>
      <c r="D17" s="30" t="str">
        <f>'Catalogo Materiales'!D17</f>
        <v>pza</v>
      </c>
      <c r="E17" s="31">
        <f>SUMIFS(Movimientos!$I$5:$I$60,Movimientos!$C$5:$C$60,A17,Movimientos!$F$5:$F$60,"Entrada a Bodega")</f>
        <v>0</v>
      </c>
      <c r="F17" s="31">
        <f>SUMIFS(Movimientos!$I$5:$I$60,Movimientos!$C$5:$C$60,A17,Movimientos!$F$5:$F$60,"Salida a Obra")</f>
        <v>0</v>
      </c>
      <c r="G17" s="31">
        <f>SUMIFS(Movimientos!$I$5:$I$60,Movimientos!$C$5:$C$60,A17,Movimientos!$F$5:$F$60,"Devolucion a Bodega")</f>
        <v>0</v>
      </c>
      <c r="H17" s="32">
        <f>E17-F17+G17</f>
        <v>0</v>
      </c>
      <c r="I17" s="31">
        <f>'Catalogo Materiales'!F17</f>
        <v>80</v>
      </c>
      <c r="J17" s="30" t="str">
        <f>IF(H17&lt;I17,"REABASTECER","OK")</f>
        <v>REABASTECER</v>
      </c>
    </row>
    <row r="18" spans="1:10" x14ac:dyDescent="0.2">
      <c r="A18" s="30" t="str">
        <f>'Catalogo Materiales'!A18</f>
        <v>MAT-014</v>
      </c>
      <c r="B18" s="29" t="str">
        <f>'Catalogo Materiales'!B18</f>
        <v>Caja Registro Eléctrica 4x4</v>
      </c>
      <c r="C18" s="29" t="str">
        <f>'Catalogo Materiales'!C18</f>
        <v>Eléctrico</v>
      </c>
      <c r="D18" s="30" t="str">
        <f>'Catalogo Materiales'!D18</f>
        <v>pza</v>
      </c>
      <c r="E18" s="31">
        <f>SUMIFS(Movimientos!$I$5:$I$60,Movimientos!$C$5:$C$60,A18,Movimientos!$F$5:$F$60,"Entrada a Bodega")</f>
        <v>0</v>
      </c>
      <c r="F18" s="31">
        <f>SUMIFS(Movimientos!$I$5:$I$60,Movimientos!$C$5:$C$60,A18,Movimientos!$F$5:$F$60,"Salida a Obra")</f>
        <v>0</v>
      </c>
      <c r="G18" s="31">
        <f>SUMIFS(Movimientos!$I$5:$I$60,Movimientos!$C$5:$C$60,A18,Movimientos!$F$5:$F$60,"Devolucion a Bodega")</f>
        <v>0</v>
      </c>
      <c r="H18" s="32">
        <f>E18-F18+G18</f>
        <v>0</v>
      </c>
      <c r="I18" s="31">
        <f>'Catalogo Materiales'!F18</f>
        <v>150</v>
      </c>
      <c r="J18" s="30" t="str">
        <f>IF(H18&lt;I18,"REABASTECER","OK")</f>
        <v>REABASTECER</v>
      </c>
    </row>
    <row r="19" spans="1:10" x14ac:dyDescent="0.2">
      <c r="A19" s="30" t="str">
        <f>'Catalogo Materiales'!A19</f>
        <v>MAT-015</v>
      </c>
      <c r="B19" s="29" t="str">
        <f>'Catalogo Materiales'!B19</f>
        <v>Cinta Aislante</v>
      </c>
      <c r="C19" s="29" t="str">
        <f>'Catalogo Materiales'!C19</f>
        <v>Eléctrico</v>
      </c>
      <c r="D19" s="30" t="str">
        <f>'Catalogo Materiales'!D19</f>
        <v>rollo</v>
      </c>
      <c r="E19" s="31">
        <f>SUMIFS(Movimientos!$I$5:$I$60,Movimientos!$C$5:$C$60,A19,Movimientos!$F$5:$F$60,"Entrada a Bodega")</f>
        <v>0</v>
      </c>
      <c r="F19" s="31">
        <f>SUMIFS(Movimientos!$I$5:$I$60,Movimientos!$C$5:$C$60,A19,Movimientos!$F$5:$F$60,"Salida a Obra")</f>
        <v>0</v>
      </c>
      <c r="G19" s="31">
        <f>SUMIFS(Movimientos!$I$5:$I$60,Movimientos!$C$5:$C$60,A19,Movimientos!$F$5:$F$60,"Devolucion a Bodega")</f>
        <v>0</v>
      </c>
      <c r="H19" s="32">
        <f>E19-F19+G19</f>
        <v>0</v>
      </c>
      <c r="I19" s="31">
        <f>'Catalogo Materiales'!F19</f>
        <v>100</v>
      </c>
      <c r="J19" s="30" t="str">
        <f>IF(H19&lt;I19,"REABASTECER","OK")</f>
        <v>REABASTECER</v>
      </c>
    </row>
    <row r="20" spans="1:10" x14ac:dyDescent="0.2">
      <c r="A20" s="30" t="str">
        <f>'Catalogo Materiales'!A20</f>
        <v>MAT-016</v>
      </c>
      <c r="B20" s="29" t="str">
        <f>'Catalogo Materiales'!B20</f>
        <v>Pegamento PVC</v>
      </c>
      <c r="C20" s="29" t="str">
        <f>'Catalogo Materiales'!C20</f>
        <v>Plomería</v>
      </c>
      <c r="D20" s="30" t="str">
        <f>'Catalogo Materiales'!D20</f>
        <v>bote</v>
      </c>
      <c r="E20" s="31">
        <f>SUMIFS(Movimientos!$I$5:$I$60,Movimientos!$C$5:$C$60,A20,Movimientos!$F$5:$F$60,"Entrada a Bodega")</f>
        <v>0</v>
      </c>
      <c r="F20" s="31">
        <f>SUMIFS(Movimientos!$I$5:$I$60,Movimientos!$C$5:$C$60,A20,Movimientos!$F$5:$F$60,"Salida a Obra")</f>
        <v>0</v>
      </c>
      <c r="G20" s="31">
        <f>SUMIFS(Movimientos!$I$5:$I$60,Movimientos!$C$5:$C$60,A20,Movimientos!$F$5:$F$60,"Devolucion a Bodega")</f>
        <v>0</v>
      </c>
      <c r="H20" s="32">
        <f>E20-F20+G20</f>
        <v>0</v>
      </c>
      <c r="I20" s="31">
        <f>'Catalogo Materiales'!F20</f>
        <v>40</v>
      </c>
      <c r="J20" s="30" t="str">
        <f>IF(H20&lt;I20,"REABASTECER","OK")</f>
        <v>REABASTECER</v>
      </c>
    </row>
    <row r="21" spans="1:10" x14ac:dyDescent="0.2">
      <c r="A21" s="30" t="str">
        <f>'Catalogo Materiales'!A21</f>
        <v>MAT-017</v>
      </c>
      <c r="B21" s="29" t="str">
        <f>'Catalogo Materiales'!B21</f>
        <v>Breaker Termomagnético 20A</v>
      </c>
      <c r="C21" s="29" t="str">
        <f>'Catalogo Materiales'!C21</f>
        <v>Eléctrico</v>
      </c>
      <c r="D21" s="30" t="str">
        <f>'Catalogo Materiales'!D21</f>
        <v>pza</v>
      </c>
      <c r="E21" s="31">
        <f>SUMIFS(Movimientos!$I$5:$I$60,Movimientos!$C$5:$C$60,A21,Movimientos!$F$5:$F$60,"Entrada a Bodega")</f>
        <v>0</v>
      </c>
      <c r="F21" s="31">
        <f>SUMIFS(Movimientos!$I$5:$I$60,Movimientos!$C$5:$C$60,A21,Movimientos!$F$5:$F$60,"Salida a Obra")</f>
        <v>0</v>
      </c>
      <c r="G21" s="31">
        <f>SUMIFS(Movimientos!$I$5:$I$60,Movimientos!$C$5:$C$60,A21,Movimientos!$F$5:$F$60,"Devolucion a Bodega")</f>
        <v>0</v>
      </c>
      <c r="H21" s="32">
        <f>E21-F21+G21</f>
        <v>0</v>
      </c>
      <c r="I21" s="31">
        <f>'Catalogo Materiales'!F21</f>
        <v>60</v>
      </c>
      <c r="J21" s="30" t="str">
        <f>IF(H21&lt;I21,"REABASTECER","OK")</f>
        <v>REABASTECER</v>
      </c>
    </row>
    <row r="22" spans="1:10" x14ac:dyDescent="0.2">
      <c r="A22" s="30" t="str">
        <f>'Catalogo Materiales'!A22</f>
        <v>MAT-018</v>
      </c>
      <c r="B22" s="29" t="str">
        <f>'Catalogo Materiales'!B22</f>
        <v>Centro de Carga 12 Espacios</v>
      </c>
      <c r="C22" s="29" t="str">
        <f>'Catalogo Materiales'!C22</f>
        <v>Eléctrico</v>
      </c>
      <c r="D22" s="30" t="str">
        <f>'Catalogo Materiales'!D22</f>
        <v>pza</v>
      </c>
      <c r="E22" s="31">
        <f>SUMIFS(Movimientos!$I$5:$I$60,Movimientos!$C$5:$C$60,A22,Movimientos!$F$5:$F$60,"Entrada a Bodega")</f>
        <v>0</v>
      </c>
      <c r="F22" s="31">
        <f>SUMIFS(Movimientos!$I$5:$I$60,Movimientos!$C$5:$C$60,A22,Movimientos!$F$5:$F$60,"Salida a Obra")</f>
        <v>0</v>
      </c>
      <c r="G22" s="31">
        <f>SUMIFS(Movimientos!$I$5:$I$60,Movimientos!$C$5:$C$60,A22,Movimientos!$F$5:$F$60,"Devolucion a Bodega")</f>
        <v>0</v>
      </c>
      <c r="H22" s="32">
        <f>E22-F22+G22</f>
        <v>0</v>
      </c>
      <c r="I22" s="31">
        <f>'Catalogo Materiales'!F22</f>
        <v>15</v>
      </c>
      <c r="J22" s="30" t="str">
        <f>IF(H22&lt;I22,"REABASTECER","OK")</f>
        <v>REABASTECER</v>
      </c>
    </row>
    <row r="23" spans="1:10" x14ac:dyDescent="0.2">
      <c r="A23" s="30" t="str">
        <f>'Catalogo Materiales'!A23</f>
        <v>MAT-019</v>
      </c>
      <c r="B23" s="29" t="str">
        <f>'Catalogo Materiales'!B23</f>
        <v>Coplex Cobre 4" (Drenaje)</v>
      </c>
      <c r="C23" s="29" t="str">
        <f>'Catalogo Materiales'!C23</f>
        <v>Plomería</v>
      </c>
      <c r="D23" s="30" t="str">
        <f>'Catalogo Materiales'!D23</f>
        <v>pza</v>
      </c>
      <c r="E23" s="31">
        <f>SUMIFS(Movimientos!$I$5:$I$60,Movimientos!$C$5:$C$60,A23,Movimientos!$F$5:$F$60,"Entrada a Bodega")</f>
        <v>0</v>
      </c>
      <c r="F23" s="31">
        <f>SUMIFS(Movimientos!$I$5:$I$60,Movimientos!$C$5:$C$60,A23,Movimientos!$F$5:$F$60,"Salida a Obra")</f>
        <v>0</v>
      </c>
      <c r="G23" s="31">
        <f>SUMIFS(Movimientos!$I$5:$I$60,Movimientos!$C$5:$C$60,A23,Movimientos!$F$5:$F$60,"Devolucion a Bodega")</f>
        <v>0</v>
      </c>
      <c r="H23" s="32">
        <f>E23-F23+G23</f>
        <v>0</v>
      </c>
      <c r="I23" s="31">
        <f>'Catalogo Materiales'!F23</f>
        <v>100</v>
      </c>
      <c r="J23" s="30" t="str">
        <f>IF(H23&lt;I23,"REABASTECER","OK")</f>
        <v>REABASTECER</v>
      </c>
    </row>
    <row r="24" spans="1:10" x14ac:dyDescent="0.2">
      <c r="A24" s="30" t="str">
        <f>'Catalogo Materiales'!A24</f>
        <v>MAT-020</v>
      </c>
      <c r="B24" s="29" t="str">
        <f>'Catalogo Materiales'!B24</f>
        <v>Silicón Sanitario</v>
      </c>
      <c r="C24" s="29" t="str">
        <f>'Catalogo Materiales'!C24</f>
        <v>Plomería</v>
      </c>
      <c r="D24" s="30" t="str">
        <f>'Catalogo Materiales'!D24</f>
        <v>cartucho</v>
      </c>
      <c r="E24" s="31">
        <f>SUMIFS(Movimientos!$I$5:$I$60,Movimientos!$C$5:$C$60,A24,Movimientos!$F$5:$F$60,"Entrada a Bodega")</f>
        <v>0</v>
      </c>
      <c r="F24" s="31">
        <f>SUMIFS(Movimientos!$I$5:$I$60,Movimientos!$C$5:$C$60,A24,Movimientos!$F$5:$F$60,"Salida a Obra")</f>
        <v>0</v>
      </c>
      <c r="G24" s="31">
        <f>SUMIFS(Movimientos!$I$5:$I$60,Movimientos!$C$5:$C$60,A24,Movimientos!$F$5:$F$60,"Devolucion a Bodega")</f>
        <v>0</v>
      </c>
      <c r="H24" s="32">
        <f>E24-F24+G24</f>
        <v>0</v>
      </c>
      <c r="I24" s="31">
        <f>'Catalogo Materiales'!F24</f>
        <v>50</v>
      </c>
      <c r="J24" s="30" t="str">
        <f>IF(H24&lt;I24,"REABASTECER","OK")</f>
        <v>REABASTECER</v>
      </c>
    </row>
  </sheetData>
  <mergeCells count="2">
    <mergeCell ref="A1:I1"/>
    <mergeCell ref="A2:I2"/>
  </mergeCells>
  <conditionalFormatting sqref="J5:J24">
    <cfRule type="cellIs" dxfId="7" priority="2" operator="equal">
      <formula>"REABASTECER"</formula>
    </cfRule>
    <cfRule type="cellIs" dxfId="6" priority="3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34.03125" customWidth="1"/>
    <col min="3" max="3" width="9.953125" customWidth="1"/>
    <col min="4" max="7" width="16.0078125" customWidth="1"/>
  </cols>
  <sheetData>
    <row r="1" spans="1:7" ht="21.75" customHeight="1" x14ac:dyDescent="0.2">
      <c r="A1" s="14" t="s">
        <v>182</v>
      </c>
      <c r="B1" s="14"/>
      <c r="C1" s="14"/>
      <c r="D1" s="14"/>
      <c r="E1" s="14"/>
      <c r="F1" s="14"/>
      <c r="G1" s="14"/>
    </row>
    <row r="2" spans="1:7" ht="15.75" customHeight="1" x14ac:dyDescent="0.2">
      <c r="A2" s="13" t="s">
        <v>183</v>
      </c>
      <c r="B2" s="13"/>
      <c r="C2" s="13"/>
      <c r="D2" s="13"/>
      <c r="E2" s="13"/>
      <c r="F2" s="13"/>
      <c r="G2" s="13"/>
    </row>
    <row r="4" spans="1:7" x14ac:dyDescent="0.2">
      <c r="A4" s="19" t="s">
        <v>184</v>
      </c>
      <c r="B4" s="33" t="s">
        <v>129</v>
      </c>
      <c r="C4" s="19" t="s">
        <v>185</v>
      </c>
      <c r="D4" s="12" t="str">
        <f>IFERROR(INDEX(Obras!$B$5:$B$54,MATCH(B4,Obras!$A$5:$A$54,0)),"")</f>
        <v>Edificio Corporativo Torre Norte</v>
      </c>
      <c r="E4" s="12"/>
      <c r="F4" s="12"/>
      <c r="G4" s="12"/>
    </row>
    <row r="6" spans="1:7" ht="24.75" x14ac:dyDescent="0.2">
      <c r="A6" s="24" t="s">
        <v>175</v>
      </c>
      <c r="B6" s="24" t="s">
        <v>69</v>
      </c>
      <c r="C6" s="24" t="s">
        <v>71</v>
      </c>
      <c r="D6" s="24" t="s">
        <v>186</v>
      </c>
      <c r="E6" s="24" t="s">
        <v>187</v>
      </c>
      <c r="F6" s="24" t="s">
        <v>188</v>
      </c>
      <c r="G6" s="24" t="s">
        <v>189</v>
      </c>
    </row>
    <row r="7" spans="1:7" x14ac:dyDescent="0.2">
      <c r="A7" s="30" t="str">
        <f>'Catalogo Materiales'!A5</f>
        <v>MAT-001</v>
      </c>
      <c r="B7" s="29" t="str">
        <f>'Catalogo Materiales'!B5</f>
        <v>Tubería PVC 1/2"</v>
      </c>
      <c r="C7" s="30" t="str">
        <f>'Catalogo Materiales'!D5</f>
        <v>m</v>
      </c>
      <c r="D7" s="31">
        <f>SUMIFS(Movimientos!$I$5:$I$60,Movimientos!$C$5:$C$60,A7,Movimientos!$G$5:$G$60,$B$4,Movimientos!$F$5:$F$60,"Salida a Obra")</f>
        <v>150</v>
      </c>
      <c r="E7" s="31">
        <f>SUMIFS(Movimientos!$I$5:$I$60,Movimientos!$C$5:$C$60,A7,Movimientos!$G$5:$G$60,$B$4,Movimientos!$F$5:$F$60,"Consumo en Obra")</f>
        <v>90</v>
      </c>
      <c r="F7" s="31">
        <f>SUMIFS(Movimientos!$I$5:$I$60,Movimientos!$C$5:$C$60,A7,Movimientos!$G$5:$G$60,$B$4,Movimientos!$F$5:$F$60,"Devolucion a Bodega")</f>
        <v>10</v>
      </c>
      <c r="G7" s="32">
        <f>D7-E7-F7</f>
        <v>50</v>
      </c>
    </row>
    <row r="8" spans="1:7" x14ac:dyDescent="0.2">
      <c r="A8" s="30" t="str">
        <f>'Catalogo Materiales'!A6</f>
        <v>MAT-002</v>
      </c>
      <c r="B8" s="29" t="str">
        <f>'Catalogo Materiales'!B6</f>
        <v>Tubería PVC 3/4"</v>
      </c>
      <c r="C8" s="30" t="str">
        <f>'Catalogo Materiales'!D6</f>
        <v>m</v>
      </c>
      <c r="D8" s="31">
        <f>SUMIFS(Movimientos!$I$5:$I$60,Movimientos!$C$5:$C$60,A8,Movimientos!$G$5:$G$60,$B$4,Movimientos!$F$5:$F$60,"Salida a Obra")</f>
        <v>0</v>
      </c>
      <c r="E8" s="31">
        <f>SUMIFS(Movimientos!$I$5:$I$60,Movimientos!$C$5:$C$60,A8,Movimientos!$G$5:$G$60,$B$4,Movimientos!$F$5:$F$60,"Consumo en Obra")</f>
        <v>0</v>
      </c>
      <c r="F8" s="31">
        <f>SUMIFS(Movimientos!$I$5:$I$60,Movimientos!$C$5:$C$60,A8,Movimientos!$G$5:$G$60,$B$4,Movimientos!$F$5:$F$60,"Devolucion a Bodega")</f>
        <v>0</v>
      </c>
      <c r="G8" s="32">
        <f>D8-E8-F8</f>
        <v>0</v>
      </c>
    </row>
    <row r="9" spans="1:7" x14ac:dyDescent="0.2">
      <c r="A9" s="30" t="str">
        <f>'Catalogo Materiales'!A7</f>
        <v>MAT-003</v>
      </c>
      <c r="B9" s="29" t="str">
        <f>'Catalogo Materiales'!B7</f>
        <v>Tubería Conduit EMT 1/2"</v>
      </c>
      <c r="C9" s="30" t="str">
        <f>'Catalogo Materiales'!D7</f>
        <v>m</v>
      </c>
      <c r="D9" s="31">
        <f>SUMIFS(Movimientos!$I$5:$I$60,Movimientos!$C$5:$C$60,A9,Movimientos!$G$5:$G$60,$B$4,Movimientos!$F$5:$F$60,"Salida a Obra")</f>
        <v>0</v>
      </c>
      <c r="E9" s="31">
        <f>SUMIFS(Movimientos!$I$5:$I$60,Movimientos!$C$5:$C$60,A9,Movimientos!$G$5:$G$60,$B$4,Movimientos!$F$5:$F$60,"Consumo en Obra")</f>
        <v>0</v>
      </c>
      <c r="F9" s="31">
        <f>SUMIFS(Movimientos!$I$5:$I$60,Movimientos!$C$5:$C$60,A9,Movimientos!$G$5:$G$60,$B$4,Movimientos!$F$5:$F$60,"Devolucion a Bodega")</f>
        <v>0</v>
      </c>
      <c r="G9" s="32">
        <f>D9-E9-F9</f>
        <v>0</v>
      </c>
    </row>
    <row r="10" spans="1:7" x14ac:dyDescent="0.2">
      <c r="A10" s="30" t="str">
        <f>'Catalogo Materiales'!A8</f>
        <v>MAT-004</v>
      </c>
      <c r="B10" s="29" t="str">
        <f>'Catalogo Materiales'!B8</f>
        <v>Cable THHW Cal. 12</v>
      </c>
      <c r="C10" s="30" t="str">
        <f>'Catalogo Materiales'!D8</f>
        <v>m</v>
      </c>
      <c r="D10" s="31">
        <f>SUMIFS(Movimientos!$I$5:$I$60,Movimientos!$C$5:$C$60,A10,Movimientos!$G$5:$G$60,$B$4,Movimientos!$F$5:$F$60,"Salida a Obra")</f>
        <v>300</v>
      </c>
      <c r="E10" s="31">
        <f>SUMIFS(Movimientos!$I$5:$I$60,Movimientos!$C$5:$C$60,A10,Movimientos!$G$5:$G$60,$B$4,Movimientos!$F$5:$F$60,"Consumo en Obra")</f>
        <v>180</v>
      </c>
      <c r="F10" s="31">
        <f>SUMIFS(Movimientos!$I$5:$I$60,Movimientos!$C$5:$C$60,A10,Movimientos!$G$5:$G$60,$B$4,Movimientos!$F$5:$F$60,"Devolucion a Bodega")</f>
        <v>0</v>
      </c>
      <c r="G10" s="32">
        <f>D10-E10-F10</f>
        <v>120</v>
      </c>
    </row>
    <row r="11" spans="1:7" x14ac:dyDescent="0.2">
      <c r="A11" s="30" t="str">
        <f>'Catalogo Materiales'!A9</f>
        <v>MAT-005</v>
      </c>
      <c r="B11" s="29" t="str">
        <f>'Catalogo Materiales'!B9</f>
        <v>Cable THHW Cal. 10</v>
      </c>
      <c r="C11" s="30" t="str">
        <f>'Catalogo Materiales'!D9</f>
        <v>m</v>
      </c>
      <c r="D11" s="31">
        <f>SUMIFS(Movimientos!$I$5:$I$60,Movimientos!$C$5:$C$60,A11,Movimientos!$G$5:$G$60,$B$4,Movimientos!$F$5:$F$60,"Salida a Obra")</f>
        <v>0</v>
      </c>
      <c r="E11" s="31">
        <f>SUMIFS(Movimientos!$I$5:$I$60,Movimientos!$C$5:$C$60,A11,Movimientos!$G$5:$G$60,$B$4,Movimientos!$F$5:$F$60,"Consumo en Obra")</f>
        <v>0</v>
      </c>
      <c r="F11" s="31">
        <f>SUMIFS(Movimientos!$I$5:$I$60,Movimientos!$C$5:$C$60,A11,Movimientos!$G$5:$G$60,$B$4,Movimientos!$F$5:$F$60,"Devolucion a Bodega")</f>
        <v>0</v>
      </c>
      <c r="G11" s="32">
        <f>D11-E11-F11</f>
        <v>0</v>
      </c>
    </row>
    <row r="12" spans="1:7" x14ac:dyDescent="0.2">
      <c r="A12" s="30" t="str">
        <f>'Catalogo Materiales'!A10</f>
        <v>MAT-006</v>
      </c>
      <c r="B12" s="29" t="str">
        <f>'Catalogo Materiales'!B10</f>
        <v>Contacto Duplex Estándar</v>
      </c>
      <c r="C12" s="30" t="str">
        <f>'Catalogo Materiales'!D10</f>
        <v>pza</v>
      </c>
      <c r="D12" s="31">
        <f>SUMIFS(Movimientos!$I$5:$I$60,Movimientos!$C$5:$C$60,A12,Movimientos!$G$5:$G$60,$B$4,Movimientos!$F$5:$F$60,"Salida a Obra")</f>
        <v>0</v>
      </c>
      <c r="E12" s="31">
        <f>SUMIFS(Movimientos!$I$5:$I$60,Movimientos!$C$5:$C$60,A12,Movimientos!$G$5:$G$60,$B$4,Movimientos!$F$5:$F$60,"Consumo en Obra")</f>
        <v>0</v>
      </c>
      <c r="F12" s="31">
        <f>SUMIFS(Movimientos!$I$5:$I$60,Movimientos!$C$5:$C$60,A12,Movimientos!$G$5:$G$60,$B$4,Movimientos!$F$5:$F$60,"Devolucion a Bodega")</f>
        <v>0</v>
      </c>
      <c r="G12" s="32">
        <f>D12-E12-F12</f>
        <v>0</v>
      </c>
    </row>
    <row r="13" spans="1:7" x14ac:dyDescent="0.2">
      <c r="A13" s="30" t="str">
        <f>'Catalogo Materiales'!A11</f>
        <v>MAT-007</v>
      </c>
      <c r="B13" s="29" t="str">
        <f>'Catalogo Materiales'!B11</f>
        <v>Contacto GFCI</v>
      </c>
      <c r="C13" s="30" t="str">
        <f>'Catalogo Materiales'!D11</f>
        <v>pza</v>
      </c>
      <c r="D13" s="31">
        <f>SUMIFS(Movimientos!$I$5:$I$60,Movimientos!$C$5:$C$60,A13,Movimientos!$G$5:$G$60,$B$4,Movimientos!$F$5:$F$60,"Salida a Obra")</f>
        <v>0</v>
      </c>
      <c r="E13" s="31">
        <f>SUMIFS(Movimientos!$I$5:$I$60,Movimientos!$C$5:$C$60,A13,Movimientos!$G$5:$G$60,$B$4,Movimientos!$F$5:$F$60,"Consumo en Obra")</f>
        <v>0</v>
      </c>
      <c r="F13" s="31">
        <f>SUMIFS(Movimientos!$I$5:$I$60,Movimientos!$C$5:$C$60,A13,Movimientos!$G$5:$G$60,$B$4,Movimientos!$F$5:$F$60,"Devolucion a Bodega")</f>
        <v>0</v>
      </c>
      <c r="G13" s="32">
        <f>D13-E13-F13</f>
        <v>0</v>
      </c>
    </row>
    <row r="14" spans="1:7" x14ac:dyDescent="0.2">
      <c r="A14" s="30" t="str">
        <f>'Catalogo Materiales'!A12</f>
        <v>MAT-008</v>
      </c>
      <c r="B14" s="29" t="str">
        <f>'Catalogo Materiales'!B12</f>
        <v>Apagador Sencillo</v>
      </c>
      <c r="C14" s="30" t="str">
        <f>'Catalogo Materiales'!D12</f>
        <v>pza</v>
      </c>
      <c r="D14" s="31">
        <f>SUMIFS(Movimientos!$I$5:$I$60,Movimientos!$C$5:$C$60,A14,Movimientos!$G$5:$G$60,$B$4,Movimientos!$F$5:$F$60,"Salida a Obra")</f>
        <v>0</v>
      </c>
      <c r="E14" s="31">
        <f>SUMIFS(Movimientos!$I$5:$I$60,Movimientos!$C$5:$C$60,A14,Movimientos!$G$5:$G$60,$B$4,Movimientos!$F$5:$F$60,"Consumo en Obra")</f>
        <v>0</v>
      </c>
      <c r="F14" s="31">
        <f>SUMIFS(Movimientos!$I$5:$I$60,Movimientos!$C$5:$C$60,A14,Movimientos!$G$5:$G$60,$B$4,Movimientos!$F$5:$F$60,"Devolucion a Bodega")</f>
        <v>0</v>
      </c>
      <c r="G14" s="32">
        <f>D14-E14-F14</f>
        <v>0</v>
      </c>
    </row>
    <row r="15" spans="1:7" x14ac:dyDescent="0.2">
      <c r="A15" s="30" t="str">
        <f>'Catalogo Materiales'!A13</f>
        <v>MAT-009</v>
      </c>
      <c r="B15" s="29" t="str">
        <f>'Catalogo Materiales'!B13</f>
        <v>Luminaria LED Empotrable 6"</v>
      </c>
      <c r="C15" s="30" t="str">
        <f>'Catalogo Materiales'!D13</f>
        <v>pza</v>
      </c>
      <c r="D15" s="31">
        <f>SUMIFS(Movimientos!$I$5:$I$60,Movimientos!$C$5:$C$60,A15,Movimientos!$G$5:$G$60,$B$4,Movimientos!$F$5:$F$60,"Salida a Obra")</f>
        <v>0</v>
      </c>
      <c r="E15" s="31">
        <f>SUMIFS(Movimientos!$I$5:$I$60,Movimientos!$C$5:$C$60,A15,Movimientos!$G$5:$G$60,$B$4,Movimientos!$F$5:$F$60,"Consumo en Obra")</f>
        <v>0</v>
      </c>
      <c r="F15" s="31">
        <f>SUMIFS(Movimientos!$I$5:$I$60,Movimientos!$C$5:$C$60,A15,Movimientos!$G$5:$G$60,$B$4,Movimientos!$F$5:$F$60,"Devolucion a Bodega")</f>
        <v>0</v>
      </c>
      <c r="G15" s="32">
        <f>D15-E15-F15</f>
        <v>0</v>
      </c>
    </row>
    <row r="16" spans="1:7" x14ac:dyDescent="0.2">
      <c r="A16" s="30" t="str">
        <f>'Catalogo Materiales'!A14</f>
        <v>MAT-010</v>
      </c>
      <c r="B16" s="29" t="str">
        <f>'Catalogo Materiales'!B14</f>
        <v>Luminaria LED Panel 2x2</v>
      </c>
      <c r="C16" s="30" t="str">
        <f>'Catalogo Materiales'!D14</f>
        <v>pza</v>
      </c>
      <c r="D16" s="31">
        <f>SUMIFS(Movimientos!$I$5:$I$60,Movimientos!$C$5:$C$60,A16,Movimientos!$G$5:$G$60,$B$4,Movimientos!$F$5:$F$60,"Salida a Obra")</f>
        <v>0</v>
      </c>
      <c r="E16" s="31">
        <f>SUMIFS(Movimientos!$I$5:$I$60,Movimientos!$C$5:$C$60,A16,Movimientos!$G$5:$G$60,$B$4,Movimientos!$F$5:$F$60,"Consumo en Obra")</f>
        <v>0</v>
      </c>
      <c r="F16" s="31">
        <f>SUMIFS(Movimientos!$I$5:$I$60,Movimientos!$C$5:$C$60,A16,Movimientos!$G$5:$G$60,$B$4,Movimientos!$F$5:$F$60,"Devolucion a Bodega")</f>
        <v>0</v>
      </c>
      <c r="G16" s="32">
        <f>D16-E16-F16</f>
        <v>0</v>
      </c>
    </row>
    <row r="17" spans="1:7" x14ac:dyDescent="0.2">
      <c r="A17" s="30" t="str">
        <f>'Catalogo Materiales'!A15</f>
        <v>MAT-011</v>
      </c>
      <c r="B17" s="29" t="str">
        <f>'Catalogo Materiales'!B15</f>
        <v>Coples PVC 1/2"</v>
      </c>
      <c r="C17" s="30" t="str">
        <f>'Catalogo Materiales'!D15</f>
        <v>pza</v>
      </c>
      <c r="D17" s="31">
        <f>SUMIFS(Movimientos!$I$5:$I$60,Movimientos!$C$5:$C$60,A17,Movimientos!$G$5:$G$60,$B$4,Movimientos!$F$5:$F$60,"Salida a Obra")</f>
        <v>0</v>
      </c>
      <c r="E17" s="31">
        <f>SUMIFS(Movimientos!$I$5:$I$60,Movimientos!$C$5:$C$60,A17,Movimientos!$G$5:$G$60,$B$4,Movimientos!$F$5:$F$60,"Consumo en Obra")</f>
        <v>0</v>
      </c>
      <c r="F17" s="31">
        <f>SUMIFS(Movimientos!$I$5:$I$60,Movimientos!$C$5:$C$60,A17,Movimientos!$G$5:$G$60,$B$4,Movimientos!$F$5:$F$60,"Devolucion a Bodega")</f>
        <v>0</v>
      </c>
      <c r="G17" s="32">
        <f>D17-E17-F17</f>
        <v>0</v>
      </c>
    </row>
    <row r="18" spans="1:7" x14ac:dyDescent="0.2">
      <c r="A18" s="30" t="str">
        <f>'Catalogo Materiales'!A16</f>
        <v>MAT-012</v>
      </c>
      <c r="B18" s="29" t="str">
        <f>'Catalogo Materiales'!B16</f>
        <v>Codo PVC 90° 1/2"</v>
      </c>
      <c r="C18" s="30" t="str">
        <f>'Catalogo Materiales'!D16</f>
        <v>pza</v>
      </c>
      <c r="D18" s="31">
        <f>SUMIFS(Movimientos!$I$5:$I$60,Movimientos!$C$5:$C$60,A18,Movimientos!$G$5:$G$60,$B$4,Movimientos!$F$5:$F$60,"Salida a Obra")</f>
        <v>0</v>
      </c>
      <c r="E18" s="31">
        <f>SUMIFS(Movimientos!$I$5:$I$60,Movimientos!$C$5:$C$60,A18,Movimientos!$G$5:$G$60,$B$4,Movimientos!$F$5:$F$60,"Consumo en Obra")</f>
        <v>0</v>
      </c>
      <c r="F18" s="31">
        <f>SUMIFS(Movimientos!$I$5:$I$60,Movimientos!$C$5:$C$60,A18,Movimientos!$G$5:$G$60,$B$4,Movimientos!$F$5:$F$60,"Devolucion a Bodega")</f>
        <v>0</v>
      </c>
      <c r="G18" s="32">
        <f>D18-E18-F18</f>
        <v>0</v>
      </c>
    </row>
    <row r="19" spans="1:7" x14ac:dyDescent="0.2">
      <c r="A19" s="30" t="str">
        <f>'Catalogo Materiales'!A17</f>
        <v>MAT-013</v>
      </c>
      <c r="B19" s="29" t="str">
        <f>'Catalogo Materiales'!B17</f>
        <v>Válvula de Esfera 1/2"</v>
      </c>
      <c r="C19" s="30" t="str">
        <f>'Catalogo Materiales'!D17</f>
        <v>pza</v>
      </c>
      <c r="D19" s="31">
        <f>SUMIFS(Movimientos!$I$5:$I$60,Movimientos!$C$5:$C$60,A19,Movimientos!$G$5:$G$60,$B$4,Movimientos!$F$5:$F$60,"Salida a Obra")</f>
        <v>0</v>
      </c>
      <c r="E19" s="31">
        <f>SUMIFS(Movimientos!$I$5:$I$60,Movimientos!$C$5:$C$60,A19,Movimientos!$G$5:$G$60,$B$4,Movimientos!$F$5:$F$60,"Consumo en Obra")</f>
        <v>0</v>
      </c>
      <c r="F19" s="31">
        <f>SUMIFS(Movimientos!$I$5:$I$60,Movimientos!$C$5:$C$60,A19,Movimientos!$G$5:$G$60,$B$4,Movimientos!$F$5:$F$60,"Devolucion a Bodega")</f>
        <v>0</v>
      </c>
      <c r="G19" s="32">
        <f>D19-E19-F19</f>
        <v>0</v>
      </c>
    </row>
    <row r="20" spans="1:7" x14ac:dyDescent="0.2">
      <c r="A20" s="30" t="str">
        <f>'Catalogo Materiales'!A18</f>
        <v>MAT-014</v>
      </c>
      <c r="B20" s="29" t="str">
        <f>'Catalogo Materiales'!B18</f>
        <v>Caja Registro Eléctrica 4x4</v>
      </c>
      <c r="C20" s="30" t="str">
        <f>'Catalogo Materiales'!D18</f>
        <v>pza</v>
      </c>
      <c r="D20" s="31">
        <f>SUMIFS(Movimientos!$I$5:$I$60,Movimientos!$C$5:$C$60,A20,Movimientos!$G$5:$G$60,$B$4,Movimientos!$F$5:$F$60,"Salida a Obra")</f>
        <v>0</v>
      </c>
      <c r="E20" s="31">
        <f>SUMIFS(Movimientos!$I$5:$I$60,Movimientos!$C$5:$C$60,A20,Movimientos!$G$5:$G$60,$B$4,Movimientos!$F$5:$F$60,"Consumo en Obra")</f>
        <v>0</v>
      </c>
      <c r="F20" s="31">
        <f>SUMIFS(Movimientos!$I$5:$I$60,Movimientos!$C$5:$C$60,A20,Movimientos!$G$5:$G$60,$B$4,Movimientos!$F$5:$F$60,"Devolucion a Bodega")</f>
        <v>0</v>
      </c>
      <c r="G20" s="32">
        <f>D20-E20-F20</f>
        <v>0</v>
      </c>
    </row>
    <row r="21" spans="1:7" x14ac:dyDescent="0.2">
      <c r="A21" s="30" t="str">
        <f>'Catalogo Materiales'!A19</f>
        <v>MAT-015</v>
      </c>
      <c r="B21" s="29" t="str">
        <f>'Catalogo Materiales'!B19</f>
        <v>Cinta Aislante</v>
      </c>
      <c r="C21" s="30" t="str">
        <f>'Catalogo Materiales'!D19</f>
        <v>rollo</v>
      </c>
      <c r="D21" s="31">
        <f>SUMIFS(Movimientos!$I$5:$I$60,Movimientos!$C$5:$C$60,A21,Movimientos!$G$5:$G$60,$B$4,Movimientos!$F$5:$F$60,"Salida a Obra")</f>
        <v>0</v>
      </c>
      <c r="E21" s="31">
        <f>SUMIFS(Movimientos!$I$5:$I$60,Movimientos!$C$5:$C$60,A21,Movimientos!$G$5:$G$60,$B$4,Movimientos!$F$5:$F$60,"Consumo en Obra")</f>
        <v>0</v>
      </c>
      <c r="F21" s="31">
        <f>SUMIFS(Movimientos!$I$5:$I$60,Movimientos!$C$5:$C$60,A21,Movimientos!$G$5:$G$60,$B$4,Movimientos!$F$5:$F$60,"Devolucion a Bodega")</f>
        <v>0</v>
      </c>
      <c r="G21" s="32">
        <f>D21-E21-F21</f>
        <v>0</v>
      </c>
    </row>
    <row r="22" spans="1:7" x14ac:dyDescent="0.2">
      <c r="A22" s="30" t="str">
        <f>'Catalogo Materiales'!A20</f>
        <v>MAT-016</v>
      </c>
      <c r="B22" s="29" t="str">
        <f>'Catalogo Materiales'!B20</f>
        <v>Pegamento PVC</v>
      </c>
      <c r="C22" s="30" t="str">
        <f>'Catalogo Materiales'!D20</f>
        <v>bote</v>
      </c>
      <c r="D22" s="31">
        <f>SUMIFS(Movimientos!$I$5:$I$60,Movimientos!$C$5:$C$60,A22,Movimientos!$G$5:$G$60,$B$4,Movimientos!$F$5:$F$60,"Salida a Obra")</f>
        <v>0</v>
      </c>
      <c r="E22" s="31">
        <f>SUMIFS(Movimientos!$I$5:$I$60,Movimientos!$C$5:$C$60,A22,Movimientos!$G$5:$G$60,$B$4,Movimientos!$F$5:$F$60,"Consumo en Obra")</f>
        <v>0</v>
      </c>
      <c r="F22" s="31">
        <f>SUMIFS(Movimientos!$I$5:$I$60,Movimientos!$C$5:$C$60,A22,Movimientos!$G$5:$G$60,$B$4,Movimientos!$F$5:$F$60,"Devolucion a Bodega")</f>
        <v>0</v>
      </c>
      <c r="G22" s="32">
        <f>D22-E22-F22</f>
        <v>0</v>
      </c>
    </row>
    <row r="23" spans="1:7" x14ac:dyDescent="0.2">
      <c r="A23" s="30" t="str">
        <f>'Catalogo Materiales'!A21</f>
        <v>MAT-017</v>
      </c>
      <c r="B23" s="29" t="str">
        <f>'Catalogo Materiales'!B21</f>
        <v>Breaker Termomagnético 20A</v>
      </c>
      <c r="C23" s="30" t="str">
        <f>'Catalogo Materiales'!D21</f>
        <v>pza</v>
      </c>
      <c r="D23" s="31">
        <f>SUMIFS(Movimientos!$I$5:$I$60,Movimientos!$C$5:$C$60,A23,Movimientos!$G$5:$G$60,$B$4,Movimientos!$F$5:$F$60,"Salida a Obra")</f>
        <v>0</v>
      </c>
      <c r="E23" s="31">
        <f>SUMIFS(Movimientos!$I$5:$I$60,Movimientos!$C$5:$C$60,A23,Movimientos!$G$5:$G$60,$B$4,Movimientos!$F$5:$F$60,"Consumo en Obra")</f>
        <v>0</v>
      </c>
      <c r="F23" s="31">
        <f>SUMIFS(Movimientos!$I$5:$I$60,Movimientos!$C$5:$C$60,A23,Movimientos!$G$5:$G$60,$B$4,Movimientos!$F$5:$F$60,"Devolucion a Bodega")</f>
        <v>0</v>
      </c>
      <c r="G23" s="32">
        <f>D23-E23-F23</f>
        <v>0</v>
      </c>
    </row>
    <row r="24" spans="1:7" x14ac:dyDescent="0.2">
      <c r="A24" s="30" t="str">
        <f>'Catalogo Materiales'!A22</f>
        <v>MAT-018</v>
      </c>
      <c r="B24" s="29" t="str">
        <f>'Catalogo Materiales'!B22</f>
        <v>Centro de Carga 12 Espacios</v>
      </c>
      <c r="C24" s="30" t="str">
        <f>'Catalogo Materiales'!D22</f>
        <v>pza</v>
      </c>
      <c r="D24" s="31">
        <f>SUMIFS(Movimientos!$I$5:$I$60,Movimientos!$C$5:$C$60,A24,Movimientos!$G$5:$G$60,$B$4,Movimientos!$F$5:$F$60,"Salida a Obra")</f>
        <v>0</v>
      </c>
      <c r="E24" s="31">
        <f>SUMIFS(Movimientos!$I$5:$I$60,Movimientos!$C$5:$C$60,A24,Movimientos!$G$5:$G$60,$B$4,Movimientos!$F$5:$F$60,"Consumo en Obra")</f>
        <v>0</v>
      </c>
      <c r="F24" s="31">
        <f>SUMIFS(Movimientos!$I$5:$I$60,Movimientos!$C$5:$C$60,A24,Movimientos!$G$5:$G$60,$B$4,Movimientos!$F$5:$F$60,"Devolucion a Bodega")</f>
        <v>0</v>
      </c>
      <c r="G24" s="32">
        <f>D24-E24-F24</f>
        <v>0</v>
      </c>
    </row>
    <row r="25" spans="1:7" x14ac:dyDescent="0.2">
      <c r="A25" s="30" t="str">
        <f>'Catalogo Materiales'!A23</f>
        <v>MAT-019</v>
      </c>
      <c r="B25" s="29" t="str">
        <f>'Catalogo Materiales'!B23</f>
        <v>Coplex Cobre 4" (Drenaje)</v>
      </c>
      <c r="C25" s="30" t="str">
        <f>'Catalogo Materiales'!D23</f>
        <v>pza</v>
      </c>
      <c r="D25" s="31">
        <f>SUMIFS(Movimientos!$I$5:$I$60,Movimientos!$C$5:$C$60,A25,Movimientos!$G$5:$G$60,$B$4,Movimientos!$F$5:$F$60,"Salida a Obra")</f>
        <v>0</v>
      </c>
      <c r="E25" s="31">
        <f>SUMIFS(Movimientos!$I$5:$I$60,Movimientos!$C$5:$C$60,A25,Movimientos!$G$5:$G$60,$B$4,Movimientos!$F$5:$F$60,"Consumo en Obra")</f>
        <v>0</v>
      </c>
      <c r="F25" s="31">
        <f>SUMIFS(Movimientos!$I$5:$I$60,Movimientos!$C$5:$C$60,A25,Movimientos!$G$5:$G$60,$B$4,Movimientos!$F$5:$F$60,"Devolucion a Bodega")</f>
        <v>0</v>
      </c>
      <c r="G25" s="32">
        <f>D25-E25-F25</f>
        <v>0</v>
      </c>
    </row>
    <row r="26" spans="1:7" x14ac:dyDescent="0.2">
      <c r="A26" s="30" t="str">
        <f>'Catalogo Materiales'!A24</f>
        <v>MAT-020</v>
      </c>
      <c r="B26" s="29" t="str">
        <f>'Catalogo Materiales'!B24</f>
        <v>Silicón Sanitario</v>
      </c>
      <c r="C26" s="30" t="str">
        <f>'Catalogo Materiales'!D24</f>
        <v>cartucho</v>
      </c>
      <c r="D26" s="31">
        <f>SUMIFS(Movimientos!$I$5:$I$60,Movimientos!$C$5:$C$60,A26,Movimientos!$G$5:$G$60,$B$4,Movimientos!$F$5:$F$60,"Salida a Obra")</f>
        <v>0</v>
      </c>
      <c r="E26" s="31">
        <f>SUMIFS(Movimientos!$I$5:$I$60,Movimientos!$C$5:$C$60,A26,Movimientos!$G$5:$G$60,$B$4,Movimientos!$F$5:$F$60,"Consumo en Obra")</f>
        <v>0</v>
      </c>
      <c r="F26" s="31">
        <f>SUMIFS(Movimientos!$I$5:$I$60,Movimientos!$C$5:$C$60,A26,Movimientos!$G$5:$G$60,$B$4,Movimientos!$F$5:$F$60,"Devolucion a Bodega")</f>
        <v>0</v>
      </c>
      <c r="G26" s="32">
        <f>D26-E26-F26</f>
        <v>0</v>
      </c>
    </row>
  </sheetData>
  <mergeCells count="3">
    <mergeCell ref="A1:G1"/>
    <mergeCell ref="A2:G2"/>
    <mergeCell ref="D4:G4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Obras!$A$5:$A$54</xm:f>
          </x14:formula1>
          <x14:formula2>
            <xm:f>0</xm:f>
          </x14:formula2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showGridLines="0" topLeftCell="C1" zoomScaleNormal="100" workbookViewId="0">
      <pane ySplit="4" topLeftCell="C5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32.015625" customWidth="1"/>
    <col min="3" max="3" width="20.04296875" customWidth="1"/>
    <col min="4" max="4" width="22.05859375" customWidth="1"/>
    <col min="5" max="7" width="16.0078125" customWidth="1"/>
  </cols>
  <sheetData>
    <row r="1" spans="1:7" ht="21.75" customHeight="1" x14ac:dyDescent="0.2">
      <c r="A1" s="14" t="s">
        <v>190</v>
      </c>
      <c r="B1" s="14"/>
      <c r="C1" s="14"/>
      <c r="D1" s="14"/>
      <c r="E1" s="14"/>
      <c r="F1" s="14"/>
      <c r="G1" s="14"/>
    </row>
    <row r="2" spans="1:7" ht="15.75" customHeight="1" x14ac:dyDescent="0.2">
      <c r="A2" s="13" t="s">
        <v>191</v>
      </c>
      <c r="B2" s="13"/>
      <c r="C2" s="13"/>
      <c r="D2" s="13"/>
      <c r="E2" s="13"/>
      <c r="F2" s="13"/>
      <c r="G2" s="13"/>
    </row>
    <row r="4" spans="1:7" ht="24.75" x14ac:dyDescent="0.2">
      <c r="A4" s="24" t="s">
        <v>175</v>
      </c>
      <c r="B4" s="24" t="s">
        <v>192</v>
      </c>
      <c r="C4" s="24" t="s">
        <v>176</v>
      </c>
      <c r="D4" s="24" t="s">
        <v>193</v>
      </c>
      <c r="E4" s="24" t="s">
        <v>194</v>
      </c>
      <c r="F4" s="24" t="s">
        <v>195</v>
      </c>
      <c r="G4" s="24" t="s">
        <v>127</v>
      </c>
    </row>
    <row r="5" spans="1:7" x14ac:dyDescent="0.2">
      <c r="A5" s="21" t="s">
        <v>196</v>
      </c>
      <c r="B5" s="21" t="s">
        <v>197</v>
      </c>
      <c r="C5" s="21" t="s">
        <v>198</v>
      </c>
      <c r="D5" s="21" t="s">
        <v>199</v>
      </c>
      <c r="E5" s="34">
        <v>2800</v>
      </c>
      <c r="F5" s="28" t="s">
        <v>200</v>
      </c>
      <c r="G5" s="25" t="s">
        <v>133</v>
      </c>
    </row>
    <row r="6" spans="1:7" x14ac:dyDescent="0.2">
      <c r="A6" s="21" t="s">
        <v>201</v>
      </c>
      <c r="B6" s="21" t="s">
        <v>202</v>
      </c>
      <c r="C6" s="21" t="s">
        <v>198</v>
      </c>
      <c r="D6" s="21" t="s">
        <v>199</v>
      </c>
      <c r="E6" s="34">
        <v>4200</v>
      </c>
      <c r="F6" s="28" t="s">
        <v>200</v>
      </c>
      <c r="G6" s="25" t="s">
        <v>133</v>
      </c>
    </row>
    <row r="7" spans="1:7" x14ac:dyDescent="0.2">
      <c r="A7" s="21" t="s">
        <v>203</v>
      </c>
      <c r="B7" s="21" t="s">
        <v>204</v>
      </c>
      <c r="C7" s="21" t="s">
        <v>198</v>
      </c>
      <c r="D7" s="21" t="s">
        <v>205</v>
      </c>
      <c r="E7" s="34">
        <v>1800</v>
      </c>
      <c r="F7" s="28" t="s">
        <v>206</v>
      </c>
      <c r="G7" s="25" t="s">
        <v>133</v>
      </c>
    </row>
    <row r="8" spans="1:7" x14ac:dyDescent="0.2">
      <c r="A8" s="21" t="s">
        <v>207</v>
      </c>
      <c r="B8" s="21" t="s">
        <v>208</v>
      </c>
      <c r="C8" s="21" t="s">
        <v>209</v>
      </c>
      <c r="D8" s="21" t="s">
        <v>210</v>
      </c>
      <c r="E8" s="34">
        <v>1500</v>
      </c>
      <c r="F8" s="28" t="s">
        <v>211</v>
      </c>
      <c r="G8" s="25" t="s">
        <v>133</v>
      </c>
    </row>
    <row r="9" spans="1:7" x14ac:dyDescent="0.2">
      <c r="A9" s="21" t="s">
        <v>212</v>
      </c>
      <c r="B9" s="21" t="s">
        <v>208</v>
      </c>
      <c r="C9" s="21" t="s">
        <v>209</v>
      </c>
      <c r="D9" s="21" t="s">
        <v>210</v>
      </c>
      <c r="E9" s="34">
        <v>1500</v>
      </c>
      <c r="F9" s="28" t="s">
        <v>211</v>
      </c>
      <c r="G9" s="25" t="s">
        <v>133</v>
      </c>
    </row>
    <row r="10" spans="1:7" x14ac:dyDescent="0.2">
      <c r="A10" s="21" t="s">
        <v>213</v>
      </c>
      <c r="B10" s="21" t="s">
        <v>214</v>
      </c>
      <c r="C10" s="21" t="s">
        <v>215</v>
      </c>
      <c r="D10" s="21" t="s">
        <v>216</v>
      </c>
      <c r="E10" s="34">
        <v>4500</v>
      </c>
      <c r="F10" s="28" t="s">
        <v>217</v>
      </c>
      <c r="G10" s="25" t="s">
        <v>133</v>
      </c>
    </row>
    <row r="11" spans="1:7" x14ac:dyDescent="0.2">
      <c r="A11" s="21" t="s">
        <v>218</v>
      </c>
      <c r="B11" s="21" t="s">
        <v>214</v>
      </c>
      <c r="C11" s="21" t="s">
        <v>215</v>
      </c>
      <c r="D11" s="21" t="s">
        <v>216</v>
      </c>
      <c r="E11" s="34">
        <v>4500</v>
      </c>
      <c r="F11" s="28" t="s">
        <v>219</v>
      </c>
      <c r="G11" s="25" t="s">
        <v>133</v>
      </c>
    </row>
    <row r="12" spans="1:7" x14ac:dyDescent="0.2">
      <c r="A12" s="21" t="s">
        <v>220</v>
      </c>
      <c r="B12" s="21" t="s">
        <v>221</v>
      </c>
      <c r="C12" s="21" t="s">
        <v>215</v>
      </c>
      <c r="D12" s="21" t="s">
        <v>222</v>
      </c>
      <c r="E12" s="34">
        <v>3200</v>
      </c>
      <c r="F12" s="28" t="s">
        <v>217</v>
      </c>
      <c r="G12" s="25" t="s">
        <v>133</v>
      </c>
    </row>
    <row r="13" spans="1:7" x14ac:dyDescent="0.2">
      <c r="A13" s="21" t="s">
        <v>223</v>
      </c>
      <c r="B13" s="21" t="s">
        <v>224</v>
      </c>
      <c r="C13" s="21" t="s">
        <v>215</v>
      </c>
      <c r="D13" s="21" t="s">
        <v>225</v>
      </c>
      <c r="E13" s="34">
        <v>1800</v>
      </c>
      <c r="F13" s="28" t="s">
        <v>226</v>
      </c>
      <c r="G13" s="25" t="s">
        <v>133</v>
      </c>
    </row>
    <row r="14" spans="1:7" x14ac:dyDescent="0.2">
      <c r="A14" s="21" t="s">
        <v>227</v>
      </c>
      <c r="B14" s="21" t="s">
        <v>228</v>
      </c>
      <c r="C14" s="21" t="s">
        <v>229</v>
      </c>
      <c r="D14" s="21" t="s">
        <v>230</v>
      </c>
      <c r="E14" s="34">
        <v>8500</v>
      </c>
      <c r="F14" s="28" t="s">
        <v>231</v>
      </c>
      <c r="G14" s="25" t="s">
        <v>133</v>
      </c>
    </row>
    <row r="15" spans="1:7" x14ac:dyDescent="0.2">
      <c r="A15" s="21" t="s">
        <v>232</v>
      </c>
      <c r="B15" s="21" t="s">
        <v>233</v>
      </c>
      <c r="C15" s="21" t="s">
        <v>234</v>
      </c>
      <c r="D15" s="21" t="s">
        <v>235</v>
      </c>
      <c r="E15" s="34">
        <v>2200</v>
      </c>
      <c r="F15" s="28" t="s">
        <v>236</v>
      </c>
      <c r="G15" s="25" t="s">
        <v>133</v>
      </c>
    </row>
    <row r="16" spans="1:7" x14ac:dyDescent="0.2">
      <c r="A16" s="21" t="s">
        <v>237</v>
      </c>
      <c r="B16" s="21" t="s">
        <v>238</v>
      </c>
      <c r="C16" s="21" t="s">
        <v>234</v>
      </c>
      <c r="D16" s="21" t="s">
        <v>239</v>
      </c>
      <c r="E16" s="34">
        <v>650</v>
      </c>
      <c r="F16" s="28" t="s">
        <v>236</v>
      </c>
      <c r="G16" s="25" t="s">
        <v>133</v>
      </c>
    </row>
    <row r="17" spans="1:7" x14ac:dyDescent="0.2">
      <c r="A17" s="21" t="s">
        <v>240</v>
      </c>
      <c r="B17" s="21" t="s">
        <v>241</v>
      </c>
      <c r="C17" s="21" t="s">
        <v>242</v>
      </c>
      <c r="D17" s="21" t="s">
        <v>243</v>
      </c>
      <c r="E17" s="34">
        <v>5500</v>
      </c>
      <c r="F17" s="28" t="s">
        <v>244</v>
      </c>
      <c r="G17" s="25" t="s">
        <v>245</v>
      </c>
    </row>
    <row r="18" spans="1:7" x14ac:dyDescent="0.2">
      <c r="A18" s="21" t="s">
        <v>246</v>
      </c>
      <c r="B18" s="21" t="s">
        <v>247</v>
      </c>
      <c r="C18" s="21" t="s">
        <v>248</v>
      </c>
      <c r="D18" s="21" t="s">
        <v>249</v>
      </c>
      <c r="E18" s="34">
        <v>1200</v>
      </c>
      <c r="F18" s="28" t="s">
        <v>250</v>
      </c>
      <c r="G18" s="25" t="s">
        <v>133</v>
      </c>
    </row>
    <row r="19" spans="1:7" x14ac:dyDescent="0.2">
      <c r="A19" s="21" t="s">
        <v>251</v>
      </c>
      <c r="B19" s="21" t="s">
        <v>252</v>
      </c>
      <c r="C19" s="21" t="s">
        <v>234</v>
      </c>
      <c r="D19" s="21" t="s">
        <v>253</v>
      </c>
      <c r="E19" s="34">
        <v>3800</v>
      </c>
      <c r="F19" s="28" t="s">
        <v>254</v>
      </c>
      <c r="G19" s="25" t="s">
        <v>133</v>
      </c>
    </row>
  </sheetData>
  <mergeCells count="2">
    <mergeCell ref="A1:G1"/>
    <mergeCell ref="A2:G2"/>
  </mergeCells>
  <dataValidations count="1">
    <dataValidation type="list" allowBlank="1" sqref="G5:G19" xr:uid="{00000000-0002-0000-0700-000000000000}">
      <formula1>"Activa,Mantenimiento,Baja"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7.93359375" customWidth="1"/>
    <col min="2" max="3" width="11.97265625" customWidth="1"/>
    <col min="4" max="4" width="29.99609375" customWidth="1"/>
    <col min="5" max="5" width="20.04296875" customWidth="1"/>
    <col min="6" max="6" width="11.97265625" customWidth="1"/>
    <col min="7" max="7" width="25.9609375" customWidth="1"/>
    <col min="8" max="9" width="16.0078125" customWidth="1"/>
    <col min="10" max="10" width="27.98046875" customWidth="1"/>
  </cols>
  <sheetData>
    <row r="1" spans="1:10" ht="21.75" customHeight="1" x14ac:dyDescent="0.2">
      <c r="A1" s="14" t="s">
        <v>255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75" customHeight="1" x14ac:dyDescent="0.2">
      <c r="A2" s="13" t="s">
        <v>256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4.75" x14ac:dyDescent="0.2">
      <c r="A4" s="24" t="s">
        <v>147</v>
      </c>
      <c r="B4" s="24" t="s">
        <v>148</v>
      </c>
      <c r="C4" s="24" t="s">
        <v>257</v>
      </c>
      <c r="D4" s="24" t="s">
        <v>192</v>
      </c>
      <c r="E4" s="24" t="s">
        <v>150</v>
      </c>
      <c r="F4" s="24" t="s">
        <v>258</v>
      </c>
      <c r="G4" s="24" t="s">
        <v>124</v>
      </c>
      <c r="H4" s="24" t="s">
        <v>126</v>
      </c>
      <c r="I4" s="24" t="s">
        <v>259</v>
      </c>
      <c r="J4" s="24" t="s">
        <v>153</v>
      </c>
    </row>
    <row r="5" spans="1:10" x14ac:dyDescent="0.2">
      <c r="A5" s="25">
        <v>1</v>
      </c>
      <c r="B5" s="28" t="s">
        <v>260</v>
      </c>
      <c r="C5" s="25" t="s">
        <v>196</v>
      </c>
      <c r="D5" s="29" t="str">
        <f>IFERROR(INDEX('Catalogo Herramientas'!$B$5:$B$19,MATCH(C5,'Catalogo Herramientas'!$A$5:$A$19,0)),"")</f>
        <v>Escalera de Aluminio 8 pies</v>
      </c>
      <c r="E5" s="25" t="s">
        <v>261</v>
      </c>
      <c r="F5" s="25" t="s">
        <v>129</v>
      </c>
      <c r="G5" s="29" t="str">
        <f>IFERROR(INDEX(Obras!$B$5:$B$54,MATCH(F5,Obras!$A$5:$A$54,0)),"")</f>
        <v>Edificio Corporativo Torre Norte</v>
      </c>
      <c r="H5" s="21" t="s">
        <v>159</v>
      </c>
      <c r="I5" s="28" t="s">
        <v>262</v>
      </c>
      <c r="J5" s="21" t="s">
        <v>263</v>
      </c>
    </row>
    <row r="6" spans="1:10" x14ac:dyDescent="0.2">
      <c r="A6" s="25">
        <v>2</v>
      </c>
      <c r="B6" s="28" t="s">
        <v>260</v>
      </c>
      <c r="C6" s="25" t="s">
        <v>213</v>
      </c>
      <c r="D6" s="29" t="str">
        <f>IFERROR(INDEX('Catalogo Herramientas'!$B$5:$B$19,MATCH(C6,'Catalogo Herramientas'!$A$5:$A$19,0)),"")</f>
        <v>Rotomartillo SDS Plus</v>
      </c>
      <c r="E6" s="25" t="s">
        <v>261</v>
      </c>
      <c r="F6" s="25" t="s">
        <v>129</v>
      </c>
      <c r="G6" s="29" t="str">
        <f>IFERROR(INDEX(Obras!$B$5:$B$54,MATCH(F6,Obras!$A$5:$A$54,0)),"")</f>
        <v>Edificio Corporativo Torre Norte</v>
      </c>
      <c r="H6" s="21" t="s">
        <v>163</v>
      </c>
      <c r="I6" s="28" t="s">
        <v>262</v>
      </c>
      <c r="J6" s="21" t="s">
        <v>264</v>
      </c>
    </row>
    <row r="7" spans="1:10" x14ac:dyDescent="0.2">
      <c r="A7" s="25">
        <v>3</v>
      </c>
      <c r="B7" s="28" t="s">
        <v>157</v>
      </c>
      <c r="C7" s="25" t="s">
        <v>207</v>
      </c>
      <c r="D7" s="29" t="str">
        <f>IFERROR(INDEX('Catalogo Herramientas'!$B$5:$B$19,MATCH(C7,'Catalogo Herramientas'!$A$5:$A$19,0)),"")</f>
        <v>Carretilla de Obra</v>
      </c>
      <c r="E7" s="25" t="s">
        <v>261</v>
      </c>
      <c r="F7" s="25" t="s">
        <v>135</v>
      </c>
      <c r="G7" s="29" t="str">
        <f>IFERROR(INDEX(Obras!$B$5:$B$54,MATCH(F7,Obras!$A$5:$A$54,0)),"")</f>
        <v>Plaza Comercial Los Pinos</v>
      </c>
      <c r="H7" s="21" t="s">
        <v>159</v>
      </c>
      <c r="I7" s="28" t="s">
        <v>265</v>
      </c>
      <c r="J7" s="21" t="s">
        <v>266</v>
      </c>
    </row>
    <row r="8" spans="1:10" x14ac:dyDescent="0.2">
      <c r="A8" s="25">
        <v>4</v>
      </c>
      <c r="B8" s="28" t="s">
        <v>162</v>
      </c>
      <c r="C8" s="25" t="s">
        <v>240</v>
      </c>
      <c r="D8" s="29" t="str">
        <f>IFERROR(INDEX('Catalogo Herramientas'!$B$5:$B$19,MATCH(C8,'Catalogo Herramientas'!$A$5:$A$19,0)),"")</f>
        <v>Compresor de Aire Portatil</v>
      </c>
      <c r="E8" s="25" t="s">
        <v>267</v>
      </c>
      <c r="F8" s="25"/>
      <c r="G8" s="29" t="str">
        <f>IFERROR(INDEX(Obras!$B$5:$B$54,MATCH(F8,Obras!$A$5:$A$54,0)),"")</f>
        <v/>
      </c>
      <c r="H8" s="21" t="s">
        <v>268</v>
      </c>
      <c r="I8" s="28"/>
      <c r="J8" s="21" t="s">
        <v>269</v>
      </c>
    </row>
    <row r="9" spans="1:10" x14ac:dyDescent="0.2">
      <c r="A9" s="25">
        <v>5</v>
      </c>
      <c r="B9" s="28" t="s">
        <v>171</v>
      </c>
      <c r="C9" s="25" t="s">
        <v>201</v>
      </c>
      <c r="D9" s="29" t="str">
        <f>IFERROR(INDEX('Catalogo Herramientas'!$B$5:$B$19,MATCH(C9,'Catalogo Herramientas'!$A$5:$A$19,0)),"")</f>
        <v>Escalera de Aluminio 12 pies</v>
      </c>
      <c r="E9" s="25" t="s">
        <v>261</v>
      </c>
      <c r="F9" s="25" t="s">
        <v>140</v>
      </c>
      <c r="G9" s="29" t="str">
        <f>IFERROR(INDEX(Obras!$B$5:$B$54,MATCH(F9,Obras!$A$5:$A$54,0)),"")</f>
        <v>Fraccionamiento Las Palmas Etapa 2</v>
      </c>
      <c r="H9" s="21" t="s">
        <v>143</v>
      </c>
      <c r="I9" s="28" t="s">
        <v>270</v>
      </c>
      <c r="J9" s="21"/>
    </row>
    <row r="10" spans="1:10" x14ac:dyDescent="0.2">
      <c r="A10" s="25">
        <v>6</v>
      </c>
      <c r="B10" s="28" t="s">
        <v>271</v>
      </c>
      <c r="C10" s="25" t="s">
        <v>213</v>
      </c>
      <c r="D10" s="29" t="str">
        <f>IFERROR(INDEX('Catalogo Herramientas'!$B$5:$B$19,MATCH(C10,'Catalogo Herramientas'!$A$5:$A$19,0)),"")</f>
        <v>Rotomartillo SDS Plus</v>
      </c>
      <c r="E10" s="25" t="s">
        <v>272</v>
      </c>
      <c r="F10" s="25"/>
      <c r="G10" s="29" t="str">
        <f>IFERROR(INDEX(Obras!$B$5:$B$54,MATCH(F10,Obras!$A$5:$A$54,0)),"")</f>
        <v/>
      </c>
      <c r="H10" s="21" t="s">
        <v>163</v>
      </c>
      <c r="I10" s="28"/>
      <c r="J10" s="21" t="s">
        <v>273</v>
      </c>
    </row>
    <row r="11" spans="1:10" x14ac:dyDescent="0.2">
      <c r="A11" s="25"/>
      <c r="B11" s="28"/>
      <c r="C11" s="25"/>
      <c r="D11" s="29" t="str">
        <f>IFERROR(INDEX('Catalogo Herramientas'!$B$5:$B$19,MATCH(C11,'Catalogo Herramientas'!$A$5:$A$19,0)),"")</f>
        <v/>
      </c>
      <c r="E11" s="25"/>
      <c r="F11" s="25"/>
      <c r="G11" s="29" t="str">
        <f>IFERROR(INDEX(Obras!$B$5:$B$54,MATCH(F11,Obras!$A$5:$A$54,0)),"")</f>
        <v/>
      </c>
      <c r="H11" s="21"/>
      <c r="I11" s="28"/>
      <c r="J11" s="21"/>
    </row>
    <row r="12" spans="1:10" x14ac:dyDescent="0.2">
      <c r="A12" s="25"/>
      <c r="B12" s="28"/>
      <c r="C12" s="25"/>
      <c r="D12" s="29" t="str">
        <f>IFERROR(INDEX('Catalogo Herramientas'!$B$5:$B$19,MATCH(C12,'Catalogo Herramientas'!$A$5:$A$19,0)),"")</f>
        <v/>
      </c>
      <c r="E12" s="25"/>
      <c r="F12" s="25"/>
      <c r="G12" s="29" t="str">
        <f>IFERROR(INDEX(Obras!$B$5:$B$54,MATCH(F12,Obras!$A$5:$A$54,0)),"")</f>
        <v/>
      </c>
      <c r="H12" s="21"/>
      <c r="I12" s="28"/>
      <c r="J12" s="21"/>
    </row>
    <row r="13" spans="1:10" x14ac:dyDescent="0.2">
      <c r="A13" s="25"/>
      <c r="B13" s="28"/>
      <c r="C13" s="25"/>
      <c r="D13" s="29" t="str">
        <f>IFERROR(INDEX('Catalogo Herramientas'!$B$5:$B$19,MATCH(C13,'Catalogo Herramientas'!$A$5:$A$19,0)),"")</f>
        <v/>
      </c>
      <c r="E13" s="25"/>
      <c r="F13" s="25"/>
      <c r="G13" s="29" t="str">
        <f>IFERROR(INDEX(Obras!$B$5:$B$54,MATCH(F13,Obras!$A$5:$A$54,0)),"")</f>
        <v/>
      </c>
      <c r="H13" s="21"/>
      <c r="I13" s="28"/>
      <c r="J13" s="21"/>
    </row>
    <row r="14" spans="1:10" x14ac:dyDescent="0.2">
      <c r="A14" s="25"/>
      <c r="B14" s="28"/>
      <c r="C14" s="25"/>
      <c r="D14" s="29" t="str">
        <f>IFERROR(INDEX('Catalogo Herramientas'!$B$5:$B$19,MATCH(C14,'Catalogo Herramientas'!$A$5:$A$19,0)),"")</f>
        <v/>
      </c>
      <c r="E14" s="25"/>
      <c r="F14" s="25"/>
      <c r="G14" s="29" t="str">
        <f>IFERROR(INDEX(Obras!$B$5:$B$54,MATCH(F14,Obras!$A$5:$A$54,0)),"")</f>
        <v/>
      </c>
      <c r="H14" s="21"/>
      <c r="I14" s="28"/>
      <c r="J14" s="21"/>
    </row>
    <row r="15" spans="1:10" x14ac:dyDescent="0.2">
      <c r="A15" s="25"/>
      <c r="B15" s="28"/>
      <c r="C15" s="25"/>
      <c r="D15" s="29" t="str">
        <f>IFERROR(INDEX('Catalogo Herramientas'!$B$5:$B$19,MATCH(C15,'Catalogo Herramientas'!$A$5:$A$19,0)),"")</f>
        <v/>
      </c>
      <c r="E15" s="25"/>
      <c r="F15" s="25"/>
      <c r="G15" s="29" t="str">
        <f>IFERROR(INDEX(Obras!$B$5:$B$54,MATCH(F15,Obras!$A$5:$A$54,0)),"")</f>
        <v/>
      </c>
      <c r="H15" s="21"/>
      <c r="I15" s="28"/>
      <c r="J15" s="21"/>
    </row>
    <row r="16" spans="1:10" x14ac:dyDescent="0.2">
      <c r="A16" s="25"/>
      <c r="B16" s="28"/>
      <c r="C16" s="25"/>
      <c r="D16" s="29" t="str">
        <f>IFERROR(INDEX('Catalogo Herramientas'!$B$5:$B$19,MATCH(C16,'Catalogo Herramientas'!$A$5:$A$19,0)),"")</f>
        <v/>
      </c>
      <c r="E16" s="25"/>
      <c r="F16" s="25"/>
      <c r="G16" s="29" t="str">
        <f>IFERROR(INDEX(Obras!$B$5:$B$54,MATCH(F16,Obras!$A$5:$A$54,0)),"")</f>
        <v/>
      </c>
      <c r="H16" s="21"/>
      <c r="I16" s="28"/>
      <c r="J16" s="21"/>
    </row>
    <row r="17" spans="1:10" x14ac:dyDescent="0.2">
      <c r="A17" s="25"/>
      <c r="B17" s="28"/>
      <c r="C17" s="25"/>
      <c r="D17" s="29" t="str">
        <f>IFERROR(INDEX('Catalogo Herramientas'!$B$5:$B$19,MATCH(C17,'Catalogo Herramientas'!$A$5:$A$19,0)),"")</f>
        <v/>
      </c>
      <c r="E17" s="25"/>
      <c r="F17" s="25"/>
      <c r="G17" s="29" t="str">
        <f>IFERROR(INDEX(Obras!$B$5:$B$54,MATCH(F17,Obras!$A$5:$A$54,0)),"")</f>
        <v/>
      </c>
      <c r="H17" s="21"/>
      <c r="I17" s="28"/>
      <c r="J17" s="21"/>
    </row>
    <row r="18" spans="1:10" x14ac:dyDescent="0.2">
      <c r="A18" s="25"/>
      <c r="B18" s="28"/>
      <c r="C18" s="25"/>
      <c r="D18" s="29" t="str">
        <f>IFERROR(INDEX('Catalogo Herramientas'!$B$5:$B$19,MATCH(C18,'Catalogo Herramientas'!$A$5:$A$19,0)),"")</f>
        <v/>
      </c>
      <c r="E18" s="25"/>
      <c r="F18" s="25"/>
      <c r="G18" s="29" t="str">
        <f>IFERROR(INDEX(Obras!$B$5:$B$54,MATCH(F18,Obras!$A$5:$A$54,0)),"")</f>
        <v/>
      </c>
      <c r="H18" s="21"/>
      <c r="I18" s="28"/>
      <c r="J18" s="21"/>
    </row>
    <row r="19" spans="1:10" x14ac:dyDescent="0.2">
      <c r="A19" s="25"/>
      <c r="B19" s="28"/>
      <c r="C19" s="25"/>
      <c r="D19" s="29" t="str">
        <f>IFERROR(INDEX('Catalogo Herramientas'!$B$5:$B$19,MATCH(C19,'Catalogo Herramientas'!$A$5:$A$19,0)),"")</f>
        <v/>
      </c>
      <c r="E19" s="25"/>
      <c r="F19" s="25"/>
      <c r="G19" s="29" t="str">
        <f>IFERROR(INDEX(Obras!$B$5:$B$54,MATCH(F19,Obras!$A$5:$A$54,0)),"")</f>
        <v/>
      </c>
      <c r="H19" s="21"/>
      <c r="I19" s="28"/>
      <c r="J19" s="21"/>
    </row>
    <row r="20" spans="1:10" x14ac:dyDescent="0.2">
      <c r="A20" s="25"/>
      <c r="B20" s="28"/>
      <c r="C20" s="25"/>
      <c r="D20" s="29" t="str">
        <f>IFERROR(INDEX('Catalogo Herramientas'!$B$5:$B$19,MATCH(C20,'Catalogo Herramientas'!$A$5:$A$19,0)),"")</f>
        <v/>
      </c>
      <c r="E20" s="25"/>
      <c r="F20" s="25"/>
      <c r="G20" s="29" t="str">
        <f>IFERROR(INDEX(Obras!$B$5:$B$54,MATCH(F20,Obras!$A$5:$A$54,0)),"")</f>
        <v/>
      </c>
      <c r="H20" s="21"/>
      <c r="I20" s="28"/>
      <c r="J20" s="21"/>
    </row>
    <row r="21" spans="1:10" x14ac:dyDescent="0.2">
      <c r="A21" s="25"/>
      <c r="B21" s="28"/>
      <c r="C21" s="25"/>
      <c r="D21" s="29" t="str">
        <f>IFERROR(INDEX('Catalogo Herramientas'!$B$5:$B$19,MATCH(C21,'Catalogo Herramientas'!$A$5:$A$19,0)),"")</f>
        <v/>
      </c>
      <c r="E21" s="25"/>
      <c r="F21" s="25"/>
      <c r="G21" s="29" t="str">
        <f>IFERROR(INDEX(Obras!$B$5:$B$54,MATCH(F21,Obras!$A$5:$A$54,0)),"")</f>
        <v/>
      </c>
      <c r="H21" s="21"/>
      <c r="I21" s="28"/>
      <c r="J21" s="21"/>
    </row>
    <row r="22" spans="1:10" x14ac:dyDescent="0.2">
      <c r="A22" s="25"/>
      <c r="B22" s="28"/>
      <c r="C22" s="25"/>
      <c r="D22" s="29" t="str">
        <f>IFERROR(INDEX('Catalogo Herramientas'!$B$5:$B$19,MATCH(C22,'Catalogo Herramientas'!$A$5:$A$19,0)),"")</f>
        <v/>
      </c>
      <c r="E22" s="25"/>
      <c r="F22" s="25"/>
      <c r="G22" s="29" t="str">
        <f>IFERROR(INDEX(Obras!$B$5:$B$54,MATCH(F22,Obras!$A$5:$A$54,0)),"")</f>
        <v/>
      </c>
      <c r="H22" s="21"/>
      <c r="I22" s="28"/>
      <c r="J22" s="21"/>
    </row>
    <row r="23" spans="1:10" x14ac:dyDescent="0.2">
      <c r="A23" s="25"/>
      <c r="B23" s="28"/>
      <c r="C23" s="25"/>
      <c r="D23" s="29" t="str">
        <f>IFERROR(INDEX('Catalogo Herramientas'!$B$5:$B$19,MATCH(C23,'Catalogo Herramientas'!$A$5:$A$19,0)),"")</f>
        <v/>
      </c>
      <c r="E23" s="25"/>
      <c r="F23" s="25"/>
      <c r="G23" s="29" t="str">
        <f>IFERROR(INDEX(Obras!$B$5:$B$54,MATCH(F23,Obras!$A$5:$A$54,0)),"")</f>
        <v/>
      </c>
      <c r="H23" s="21"/>
      <c r="I23" s="28"/>
      <c r="J23" s="21"/>
    </row>
    <row r="24" spans="1:10" x14ac:dyDescent="0.2">
      <c r="A24" s="25"/>
      <c r="B24" s="28"/>
      <c r="C24" s="25"/>
      <c r="D24" s="29" t="str">
        <f>IFERROR(INDEX('Catalogo Herramientas'!$B$5:$B$19,MATCH(C24,'Catalogo Herramientas'!$A$5:$A$19,0)),"")</f>
        <v/>
      </c>
      <c r="E24" s="25"/>
      <c r="F24" s="25"/>
      <c r="G24" s="29" t="str">
        <f>IFERROR(INDEX(Obras!$B$5:$B$54,MATCH(F24,Obras!$A$5:$A$54,0)),"")</f>
        <v/>
      </c>
      <c r="H24" s="21"/>
      <c r="I24" s="28"/>
      <c r="J24" s="21"/>
    </row>
    <row r="25" spans="1:10" x14ac:dyDescent="0.2">
      <c r="A25" s="25"/>
      <c r="B25" s="28"/>
      <c r="C25" s="25"/>
      <c r="D25" s="29" t="str">
        <f>IFERROR(INDEX('Catalogo Herramientas'!$B$5:$B$19,MATCH(C25,'Catalogo Herramientas'!$A$5:$A$19,0)),"")</f>
        <v/>
      </c>
      <c r="E25" s="25"/>
      <c r="F25" s="25"/>
      <c r="G25" s="29" t="str">
        <f>IFERROR(INDEX(Obras!$B$5:$B$54,MATCH(F25,Obras!$A$5:$A$54,0)),"")</f>
        <v/>
      </c>
      <c r="H25" s="21"/>
      <c r="I25" s="28"/>
      <c r="J25" s="21"/>
    </row>
    <row r="26" spans="1:10" x14ac:dyDescent="0.2">
      <c r="A26" s="25"/>
      <c r="B26" s="28"/>
      <c r="C26" s="25"/>
      <c r="D26" s="29" t="str">
        <f>IFERROR(INDEX('Catalogo Herramientas'!$B$5:$B$19,MATCH(C26,'Catalogo Herramientas'!$A$5:$A$19,0)),"")</f>
        <v/>
      </c>
      <c r="E26" s="25"/>
      <c r="F26" s="25"/>
      <c r="G26" s="29" t="str">
        <f>IFERROR(INDEX(Obras!$B$5:$B$54,MATCH(F26,Obras!$A$5:$A$54,0)),"")</f>
        <v/>
      </c>
      <c r="H26" s="21"/>
      <c r="I26" s="28"/>
      <c r="J26" s="21"/>
    </row>
    <row r="27" spans="1:10" x14ac:dyDescent="0.2">
      <c r="A27" s="25"/>
      <c r="B27" s="28"/>
      <c r="C27" s="25"/>
      <c r="D27" s="29" t="str">
        <f>IFERROR(INDEX('Catalogo Herramientas'!$B$5:$B$19,MATCH(C27,'Catalogo Herramientas'!$A$5:$A$19,0)),"")</f>
        <v/>
      </c>
      <c r="E27" s="25"/>
      <c r="F27" s="25"/>
      <c r="G27" s="29" t="str">
        <f>IFERROR(INDEX(Obras!$B$5:$B$54,MATCH(F27,Obras!$A$5:$A$54,0)),"")</f>
        <v/>
      </c>
      <c r="H27" s="21"/>
      <c r="I27" s="28"/>
      <c r="J27" s="21"/>
    </row>
    <row r="28" spans="1:10" x14ac:dyDescent="0.2">
      <c r="A28" s="25"/>
      <c r="B28" s="28"/>
      <c r="C28" s="25"/>
      <c r="D28" s="29" t="str">
        <f>IFERROR(INDEX('Catalogo Herramientas'!$B$5:$B$19,MATCH(C28,'Catalogo Herramientas'!$A$5:$A$19,0)),"")</f>
        <v/>
      </c>
      <c r="E28" s="25"/>
      <c r="F28" s="25"/>
      <c r="G28" s="29" t="str">
        <f>IFERROR(INDEX(Obras!$B$5:$B$54,MATCH(F28,Obras!$A$5:$A$54,0)),"")</f>
        <v/>
      </c>
      <c r="H28" s="21"/>
      <c r="I28" s="28"/>
      <c r="J28" s="21"/>
    </row>
    <row r="29" spans="1:10" x14ac:dyDescent="0.2">
      <c r="A29" s="25"/>
      <c r="B29" s="28"/>
      <c r="C29" s="25"/>
      <c r="D29" s="29" t="str">
        <f>IFERROR(INDEX('Catalogo Herramientas'!$B$5:$B$19,MATCH(C29,'Catalogo Herramientas'!$A$5:$A$19,0)),"")</f>
        <v/>
      </c>
      <c r="E29" s="25"/>
      <c r="F29" s="25"/>
      <c r="G29" s="29" t="str">
        <f>IFERROR(INDEX(Obras!$B$5:$B$54,MATCH(F29,Obras!$A$5:$A$54,0)),"")</f>
        <v/>
      </c>
      <c r="H29" s="21"/>
      <c r="I29" s="28"/>
      <c r="J29" s="21"/>
    </row>
    <row r="30" spans="1:10" x14ac:dyDescent="0.2">
      <c r="A30" s="25"/>
      <c r="B30" s="28"/>
      <c r="C30" s="25"/>
      <c r="D30" s="29" t="str">
        <f>IFERROR(INDEX('Catalogo Herramientas'!$B$5:$B$19,MATCH(C30,'Catalogo Herramientas'!$A$5:$A$19,0)),"")</f>
        <v/>
      </c>
      <c r="E30" s="25"/>
      <c r="F30" s="25"/>
      <c r="G30" s="29" t="str">
        <f>IFERROR(INDEX(Obras!$B$5:$B$54,MATCH(F30,Obras!$A$5:$A$54,0)),"")</f>
        <v/>
      </c>
      <c r="H30" s="21"/>
      <c r="I30" s="28"/>
      <c r="J30" s="21"/>
    </row>
    <row r="31" spans="1:10" x14ac:dyDescent="0.2">
      <c r="A31" s="25"/>
      <c r="B31" s="28"/>
      <c r="C31" s="25"/>
      <c r="D31" s="29" t="str">
        <f>IFERROR(INDEX('Catalogo Herramientas'!$B$5:$B$19,MATCH(C31,'Catalogo Herramientas'!$A$5:$A$19,0)),"")</f>
        <v/>
      </c>
      <c r="E31" s="25"/>
      <c r="F31" s="25"/>
      <c r="G31" s="29" t="str">
        <f>IFERROR(INDEX(Obras!$B$5:$B$54,MATCH(F31,Obras!$A$5:$A$54,0)),"")</f>
        <v/>
      </c>
      <c r="H31" s="21"/>
      <c r="I31" s="28"/>
      <c r="J31" s="21"/>
    </row>
    <row r="32" spans="1:10" x14ac:dyDescent="0.2">
      <c r="A32" s="25"/>
      <c r="B32" s="28"/>
      <c r="C32" s="25"/>
      <c r="D32" s="29" t="str">
        <f>IFERROR(INDEX('Catalogo Herramientas'!$B$5:$B$19,MATCH(C32,'Catalogo Herramientas'!$A$5:$A$19,0)),"")</f>
        <v/>
      </c>
      <c r="E32" s="25"/>
      <c r="F32" s="25"/>
      <c r="G32" s="29" t="str">
        <f>IFERROR(INDEX(Obras!$B$5:$B$54,MATCH(F32,Obras!$A$5:$A$54,0)),"")</f>
        <v/>
      </c>
      <c r="H32" s="21"/>
      <c r="I32" s="28"/>
      <c r="J32" s="21"/>
    </row>
    <row r="33" spans="1:10" x14ac:dyDescent="0.2">
      <c r="A33" s="25"/>
      <c r="B33" s="28"/>
      <c r="C33" s="25"/>
      <c r="D33" s="29" t="str">
        <f>IFERROR(INDEX('Catalogo Herramientas'!$B$5:$B$19,MATCH(C33,'Catalogo Herramientas'!$A$5:$A$19,0)),"")</f>
        <v/>
      </c>
      <c r="E33" s="25"/>
      <c r="F33" s="25"/>
      <c r="G33" s="29" t="str">
        <f>IFERROR(INDEX(Obras!$B$5:$B$54,MATCH(F33,Obras!$A$5:$A$54,0)),"")</f>
        <v/>
      </c>
      <c r="H33" s="21"/>
      <c r="I33" s="28"/>
      <c r="J33" s="21"/>
    </row>
    <row r="34" spans="1:10" x14ac:dyDescent="0.2">
      <c r="A34" s="25"/>
      <c r="B34" s="28"/>
      <c r="C34" s="25"/>
      <c r="D34" s="29" t="str">
        <f>IFERROR(INDEX('Catalogo Herramientas'!$B$5:$B$19,MATCH(C34,'Catalogo Herramientas'!$A$5:$A$19,0)),"")</f>
        <v/>
      </c>
      <c r="E34" s="25"/>
      <c r="F34" s="25"/>
      <c r="G34" s="29" t="str">
        <f>IFERROR(INDEX(Obras!$B$5:$B$54,MATCH(F34,Obras!$A$5:$A$54,0)),"")</f>
        <v/>
      </c>
      <c r="H34" s="21"/>
      <c r="I34" s="28"/>
      <c r="J34" s="21"/>
    </row>
    <row r="35" spans="1:10" x14ac:dyDescent="0.2">
      <c r="A35" s="25"/>
      <c r="B35" s="28"/>
      <c r="C35" s="25"/>
      <c r="D35" s="29" t="str">
        <f>IFERROR(INDEX('Catalogo Herramientas'!$B$5:$B$19,MATCH(C35,'Catalogo Herramientas'!$A$5:$A$19,0)),"")</f>
        <v/>
      </c>
      <c r="E35" s="25"/>
      <c r="F35" s="25"/>
      <c r="G35" s="29" t="str">
        <f>IFERROR(INDEX(Obras!$B$5:$B$54,MATCH(F35,Obras!$A$5:$A$54,0)),"")</f>
        <v/>
      </c>
      <c r="H35" s="21"/>
      <c r="I35" s="28"/>
      <c r="J35" s="21"/>
    </row>
    <row r="36" spans="1:10" x14ac:dyDescent="0.2">
      <c r="A36" s="25"/>
      <c r="B36" s="28"/>
      <c r="C36" s="25"/>
      <c r="D36" s="29" t="str">
        <f>IFERROR(INDEX('Catalogo Herramientas'!$B$5:$B$19,MATCH(C36,'Catalogo Herramientas'!$A$5:$A$19,0)),"")</f>
        <v/>
      </c>
      <c r="E36" s="25"/>
      <c r="F36" s="25"/>
      <c r="G36" s="29" t="str">
        <f>IFERROR(INDEX(Obras!$B$5:$B$54,MATCH(F36,Obras!$A$5:$A$54,0)),"")</f>
        <v/>
      </c>
      <c r="H36" s="21"/>
      <c r="I36" s="28"/>
      <c r="J36" s="21"/>
    </row>
    <row r="37" spans="1:10" x14ac:dyDescent="0.2">
      <c r="A37" s="25"/>
      <c r="B37" s="28"/>
      <c r="C37" s="25"/>
      <c r="D37" s="29" t="str">
        <f>IFERROR(INDEX('Catalogo Herramientas'!$B$5:$B$19,MATCH(C37,'Catalogo Herramientas'!$A$5:$A$19,0)),"")</f>
        <v/>
      </c>
      <c r="E37" s="25"/>
      <c r="F37" s="25"/>
      <c r="G37" s="29" t="str">
        <f>IFERROR(INDEX(Obras!$B$5:$B$54,MATCH(F37,Obras!$A$5:$A$54,0)),"")</f>
        <v/>
      </c>
      <c r="H37" s="21"/>
      <c r="I37" s="28"/>
      <c r="J37" s="21"/>
    </row>
    <row r="38" spans="1:10" x14ac:dyDescent="0.2">
      <c r="A38" s="25"/>
      <c r="B38" s="28"/>
      <c r="C38" s="25"/>
      <c r="D38" s="29" t="str">
        <f>IFERROR(INDEX('Catalogo Herramientas'!$B$5:$B$19,MATCH(C38,'Catalogo Herramientas'!$A$5:$A$19,0)),"")</f>
        <v/>
      </c>
      <c r="E38" s="25"/>
      <c r="F38" s="25"/>
      <c r="G38" s="29" t="str">
        <f>IFERROR(INDEX(Obras!$B$5:$B$54,MATCH(F38,Obras!$A$5:$A$54,0)),"")</f>
        <v/>
      </c>
      <c r="H38" s="21"/>
      <c r="I38" s="28"/>
      <c r="J38" s="21"/>
    </row>
    <row r="39" spans="1:10" x14ac:dyDescent="0.2">
      <c r="A39" s="25"/>
      <c r="B39" s="28"/>
      <c r="C39" s="25"/>
      <c r="D39" s="29" t="str">
        <f>IFERROR(INDEX('Catalogo Herramientas'!$B$5:$B$19,MATCH(C39,'Catalogo Herramientas'!$A$5:$A$19,0)),"")</f>
        <v/>
      </c>
      <c r="E39" s="25"/>
      <c r="F39" s="25"/>
      <c r="G39" s="29" t="str">
        <f>IFERROR(INDEX(Obras!$B$5:$B$54,MATCH(F39,Obras!$A$5:$A$54,0)),"")</f>
        <v/>
      </c>
      <c r="H39" s="21"/>
      <c r="I39" s="28"/>
      <c r="J39" s="21"/>
    </row>
    <row r="40" spans="1:10" x14ac:dyDescent="0.2">
      <c r="A40" s="25"/>
      <c r="B40" s="28"/>
      <c r="C40" s="25"/>
      <c r="D40" s="29" t="str">
        <f>IFERROR(INDEX('Catalogo Herramientas'!$B$5:$B$19,MATCH(C40,'Catalogo Herramientas'!$A$5:$A$19,0)),"")</f>
        <v/>
      </c>
      <c r="E40" s="25"/>
      <c r="F40" s="25"/>
      <c r="G40" s="29" t="str">
        <f>IFERROR(INDEX(Obras!$B$5:$B$54,MATCH(F40,Obras!$A$5:$A$54,0)),"")</f>
        <v/>
      </c>
      <c r="H40" s="21"/>
      <c r="I40" s="28"/>
      <c r="J40" s="21"/>
    </row>
    <row r="41" spans="1:10" x14ac:dyDescent="0.2">
      <c r="A41" s="25"/>
      <c r="B41" s="28"/>
      <c r="C41" s="25"/>
      <c r="D41" s="29" t="str">
        <f>IFERROR(INDEX('Catalogo Herramientas'!$B$5:$B$19,MATCH(C41,'Catalogo Herramientas'!$A$5:$A$19,0)),"")</f>
        <v/>
      </c>
      <c r="E41" s="25"/>
      <c r="F41" s="25"/>
      <c r="G41" s="29" t="str">
        <f>IFERROR(INDEX(Obras!$B$5:$B$54,MATCH(F41,Obras!$A$5:$A$54,0)),"")</f>
        <v/>
      </c>
      <c r="H41" s="21"/>
      <c r="I41" s="28"/>
      <c r="J41" s="21"/>
    </row>
    <row r="42" spans="1:10" x14ac:dyDescent="0.2">
      <c r="A42" s="25"/>
      <c r="B42" s="28"/>
      <c r="C42" s="25"/>
      <c r="D42" s="29" t="str">
        <f>IFERROR(INDEX('Catalogo Herramientas'!$B$5:$B$19,MATCH(C42,'Catalogo Herramientas'!$A$5:$A$19,0)),"")</f>
        <v/>
      </c>
      <c r="E42" s="25"/>
      <c r="F42" s="25"/>
      <c r="G42" s="29" t="str">
        <f>IFERROR(INDEX(Obras!$B$5:$B$54,MATCH(F42,Obras!$A$5:$A$54,0)),"")</f>
        <v/>
      </c>
      <c r="H42" s="21"/>
      <c r="I42" s="28"/>
      <c r="J42" s="21"/>
    </row>
    <row r="43" spans="1:10" x14ac:dyDescent="0.2">
      <c r="A43" s="25"/>
      <c r="B43" s="28"/>
      <c r="C43" s="25"/>
      <c r="D43" s="29" t="str">
        <f>IFERROR(INDEX('Catalogo Herramientas'!$B$5:$B$19,MATCH(C43,'Catalogo Herramientas'!$A$5:$A$19,0)),"")</f>
        <v/>
      </c>
      <c r="E43" s="25"/>
      <c r="F43" s="25"/>
      <c r="G43" s="29" t="str">
        <f>IFERROR(INDEX(Obras!$B$5:$B$54,MATCH(F43,Obras!$A$5:$A$54,0)),"")</f>
        <v/>
      </c>
      <c r="H43" s="21"/>
      <c r="I43" s="28"/>
      <c r="J43" s="21"/>
    </row>
    <row r="44" spans="1:10" x14ac:dyDescent="0.2">
      <c r="A44" s="25"/>
      <c r="B44" s="28"/>
      <c r="C44" s="25"/>
      <c r="D44" s="29" t="str">
        <f>IFERROR(INDEX('Catalogo Herramientas'!$B$5:$B$19,MATCH(C44,'Catalogo Herramientas'!$A$5:$A$19,0)),"")</f>
        <v/>
      </c>
      <c r="E44" s="25"/>
      <c r="F44" s="25"/>
      <c r="G44" s="29" t="str">
        <f>IFERROR(INDEX(Obras!$B$5:$B$54,MATCH(F44,Obras!$A$5:$A$54,0)),"")</f>
        <v/>
      </c>
      <c r="H44" s="21"/>
      <c r="I44" s="28"/>
      <c r="J44" s="21"/>
    </row>
    <row r="45" spans="1:10" x14ac:dyDescent="0.2">
      <c r="A45" s="25"/>
      <c r="B45" s="28"/>
      <c r="C45" s="25"/>
      <c r="D45" s="29" t="str">
        <f>IFERROR(INDEX('Catalogo Herramientas'!$B$5:$B$19,MATCH(C45,'Catalogo Herramientas'!$A$5:$A$19,0)),"")</f>
        <v/>
      </c>
      <c r="E45" s="25"/>
      <c r="F45" s="25"/>
      <c r="G45" s="29" t="str">
        <f>IFERROR(INDEX(Obras!$B$5:$B$54,MATCH(F45,Obras!$A$5:$A$54,0)),"")</f>
        <v/>
      </c>
      <c r="H45" s="21"/>
      <c r="I45" s="28"/>
      <c r="J45" s="21"/>
    </row>
    <row r="46" spans="1:10" x14ac:dyDescent="0.2">
      <c r="A46" s="25"/>
      <c r="B46" s="28"/>
      <c r="C46" s="25"/>
      <c r="D46" s="29" t="str">
        <f>IFERROR(INDEX('Catalogo Herramientas'!$B$5:$B$19,MATCH(C46,'Catalogo Herramientas'!$A$5:$A$19,0)),"")</f>
        <v/>
      </c>
      <c r="E46" s="25"/>
      <c r="F46" s="25"/>
      <c r="G46" s="29" t="str">
        <f>IFERROR(INDEX(Obras!$B$5:$B$54,MATCH(F46,Obras!$A$5:$A$54,0)),"")</f>
        <v/>
      </c>
      <c r="H46" s="21"/>
      <c r="I46" s="28"/>
      <c r="J46" s="21"/>
    </row>
    <row r="47" spans="1:10" x14ac:dyDescent="0.2">
      <c r="A47" s="25"/>
      <c r="B47" s="28"/>
      <c r="C47" s="25"/>
      <c r="D47" s="29" t="str">
        <f>IFERROR(INDEX('Catalogo Herramientas'!$B$5:$B$19,MATCH(C47,'Catalogo Herramientas'!$A$5:$A$19,0)),"")</f>
        <v/>
      </c>
      <c r="E47" s="25"/>
      <c r="F47" s="25"/>
      <c r="G47" s="29" t="str">
        <f>IFERROR(INDEX(Obras!$B$5:$B$54,MATCH(F47,Obras!$A$5:$A$54,0)),"")</f>
        <v/>
      </c>
      <c r="H47" s="21"/>
      <c r="I47" s="28"/>
      <c r="J47" s="21"/>
    </row>
    <row r="48" spans="1:10" x14ac:dyDescent="0.2">
      <c r="A48" s="25"/>
      <c r="B48" s="28"/>
      <c r="C48" s="25"/>
      <c r="D48" s="29" t="str">
        <f>IFERROR(INDEX('Catalogo Herramientas'!$B$5:$B$19,MATCH(C48,'Catalogo Herramientas'!$A$5:$A$19,0)),"")</f>
        <v/>
      </c>
      <c r="E48" s="25"/>
      <c r="F48" s="25"/>
      <c r="G48" s="29" t="str">
        <f>IFERROR(INDEX(Obras!$B$5:$B$54,MATCH(F48,Obras!$A$5:$A$54,0)),"")</f>
        <v/>
      </c>
      <c r="H48" s="21"/>
      <c r="I48" s="28"/>
      <c r="J48" s="21"/>
    </row>
    <row r="49" spans="1:10" x14ac:dyDescent="0.2">
      <c r="A49" s="25"/>
      <c r="B49" s="28"/>
      <c r="C49" s="25"/>
      <c r="D49" s="29" t="str">
        <f>IFERROR(INDEX('Catalogo Herramientas'!$B$5:$B$19,MATCH(C49,'Catalogo Herramientas'!$A$5:$A$19,0)),"")</f>
        <v/>
      </c>
      <c r="E49" s="25"/>
      <c r="F49" s="25"/>
      <c r="G49" s="29" t="str">
        <f>IFERROR(INDEX(Obras!$B$5:$B$54,MATCH(F49,Obras!$A$5:$A$54,0)),"")</f>
        <v/>
      </c>
      <c r="H49" s="21"/>
      <c r="I49" s="28"/>
      <c r="J49" s="21"/>
    </row>
    <row r="50" spans="1:10" x14ac:dyDescent="0.2">
      <c r="A50" s="25"/>
      <c r="B50" s="28"/>
      <c r="C50" s="25"/>
      <c r="D50" s="29" t="str">
        <f>IFERROR(INDEX('Catalogo Herramientas'!$B$5:$B$19,MATCH(C50,'Catalogo Herramientas'!$A$5:$A$19,0)),"")</f>
        <v/>
      </c>
      <c r="E50" s="25"/>
      <c r="F50" s="25"/>
      <c r="G50" s="29" t="str">
        <f>IFERROR(INDEX(Obras!$B$5:$B$54,MATCH(F50,Obras!$A$5:$A$54,0)),"")</f>
        <v/>
      </c>
      <c r="H50" s="21"/>
      <c r="I50" s="28"/>
      <c r="J50" s="21"/>
    </row>
    <row r="51" spans="1:10" x14ac:dyDescent="0.2">
      <c r="A51" s="25"/>
      <c r="B51" s="28"/>
      <c r="C51" s="25"/>
      <c r="D51" s="29" t="str">
        <f>IFERROR(INDEX('Catalogo Herramientas'!$B$5:$B$19,MATCH(C51,'Catalogo Herramientas'!$A$5:$A$19,0)),"")</f>
        <v/>
      </c>
      <c r="E51" s="25"/>
      <c r="F51" s="25"/>
      <c r="G51" s="29" t="str">
        <f>IFERROR(INDEX(Obras!$B$5:$B$54,MATCH(F51,Obras!$A$5:$A$54,0)),"")</f>
        <v/>
      </c>
      <c r="H51" s="21"/>
      <c r="I51" s="28"/>
      <c r="J51" s="21"/>
    </row>
    <row r="52" spans="1:10" x14ac:dyDescent="0.2">
      <c r="A52" s="25"/>
      <c r="B52" s="28"/>
      <c r="C52" s="25"/>
      <c r="D52" s="29" t="str">
        <f>IFERROR(INDEX('Catalogo Herramientas'!$B$5:$B$19,MATCH(C52,'Catalogo Herramientas'!$A$5:$A$19,0)),"")</f>
        <v/>
      </c>
      <c r="E52" s="25"/>
      <c r="F52" s="25"/>
      <c r="G52" s="29" t="str">
        <f>IFERROR(INDEX(Obras!$B$5:$B$54,MATCH(F52,Obras!$A$5:$A$54,0)),"")</f>
        <v/>
      </c>
      <c r="H52" s="21"/>
      <c r="I52" s="28"/>
      <c r="J52" s="21"/>
    </row>
    <row r="53" spans="1:10" x14ac:dyDescent="0.2">
      <c r="A53" s="25"/>
      <c r="B53" s="28"/>
      <c r="C53" s="25"/>
      <c r="D53" s="29" t="str">
        <f>IFERROR(INDEX('Catalogo Herramientas'!$B$5:$B$19,MATCH(C53,'Catalogo Herramientas'!$A$5:$A$19,0)),"")</f>
        <v/>
      </c>
      <c r="E53" s="25"/>
      <c r="F53" s="25"/>
      <c r="G53" s="29" t="str">
        <f>IFERROR(INDEX(Obras!$B$5:$B$54,MATCH(F53,Obras!$A$5:$A$54,0)),"")</f>
        <v/>
      </c>
      <c r="H53" s="21"/>
      <c r="I53" s="28"/>
      <c r="J53" s="21"/>
    </row>
    <row r="54" spans="1:10" x14ac:dyDescent="0.2">
      <c r="A54" s="25"/>
      <c r="B54" s="28"/>
      <c r="C54" s="25"/>
      <c r="D54" s="29" t="str">
        <f>IFERROR(INDEX('Catalogo Herramientas'!$B$5:$B$19,MATCH(C54,'Catalogo Herramientas'!$A$5:$A$19,0)),"")</f>
        <v/>
      </c>
      <c r="E54" s="25"/>
      <c r="F54" s="25"/>
      <c r="G54" s="29" t="str">
        <f>IFERROR(INDEX(Obras!$B$5:$B$54,MATCH(F54,Obras!$A$5:$A$54,0)),"")</f>
        <v/>
      </c>
      <c r="H54" s="21"/>
      <c r="I54" s="28"/>
      <c r="J54" s="21"/>
    </row>
    <row r="55" spans="1:10" x14ac:dyDescent="0.2">
      <c r="A55" s="25"/>
      <c r="B55" s="28"/>
      <c r="C55" s="25"/>
      <c r="D55" s="29" t="str">
        <f>IFERROR(INDEX('Catalogo Herramientas'!$B$5:$B$19,MATCH(C55,'Catalogo Herramientas'!$A$5:$A$19,0)),"")</f>
        <v/>
      </c>
      <c r="E55" s="25"/>
      <c r="F55" s="25"/>
      <c r="G55" s="29" t="str">
        <f>IFERROR(INDEX(Obras!$B$5:$B$54,MATCH(F55,Obras!$A$5:$A$54,0)),"")</f>
        <v/>
      </c>
      <c r="H55" s="21"/>
      <c r="I55" s="28"/>
      <c r="J55" s="21"/>
    </row>
    <row r="56" spans="1:10" x14ac:dyDescent="0.2">
      <c r="A56" s="25"/>
      <c r="B56" s="28"/>
      <c r="C56" s="25"/>
      <c r="D56" s="29" t="str">
        <f>IFERROR(INDEX('Catalogo Herramientas'!$B$5:$B$19,MATCH(C56,'Catalogo Herramientas'!$A$5:$A$19,0)),"")</f>
        <v/>
      </c>
      <c r="E56" s="25"/>
      <c r="F56" s="25"/>
      <c r="G56" s="29" t="str">
        <f>IFERROR(INDEX(Obras!$B$5:$B$54,MATCH(F56,Obras!$A$5:$A$54,0)),"")</f>
        <v/>
      </c>
      <c r="H56" s="21"/>
      <c r="I56" s="28"/>
      <c r="J56" s="21"/>
    </row>
    <row r="57" spans="1:10" x14ac:dyDescent="0.2">
      <c r="A57" s="25"/>
      <c r="B57" s="28"/>
      <c r="C57" s="25"/>
      <c r="D57" s="29" t="str">
        <f>IFERROR(INDEX('Catalogo Herramientas'!$B$5:$B$19,MATCH(C57,'Catalogo Herramientas'!$A$5:$A$19,0)),"")</f>
        <v/>
      </c>
      <c r="E57" s="25"/>
      <c r="F57" s="25"/>
      <c r="G57" s="29" t="str">
        <f>IFERROR(INDEX(Obras!$B$5:$B$54,MATCH(F57,Obras!$A$5:$A$54,0)),"")</f>
        <v/>
      </c>
      <c r="H57" s="21"/>
      <c r="I57" s="28"/>
      <c r="J57" s="21"/>
    </row>
    <row r="58" spans="1:10" x14ac:dyDescent="0.2">
      <c r="A58" s="25"/>
      <c r="B58" s="28"/>
      <c r="C58" s="25"/>
      <c r="D58" s="29" t="str">
        <f>IFERROR(INDEX('Catalogo Herramientas'!$B$5:$B$19,MATCH(C58,'Catalogo Herramientas'!$A$5:$A$19,0)),"")</f>
        <v/>
      </c>
      <c r="E58" s="25"/>
      <c r="F58" s="25"/>
      <c r="G58" s="29" t="str">
        <f>IFERROR(INDEX(Obras!$B$5:$B$54,MATCH(F58,Obras!$A$5:$A$54,0)),"")</f>
        <v/>
      </c>
      <c r="H58" s="21"/>
      <c r="I58" s="28"/>
      <c r="J58" s="21"/>
    </row>
    <row r="59" spans="1:10" x14ac:dyDescent="0.2">
      <c r="A59" s="25"/>
      <c r="B59" s="28"/>
      <c r="C59" s="25"/>
      <c r="D59" s="29" t="str">
        <f>IFERROR(INDEX('Catalogo Herramientas'!$B$5:$B$19,MATCH(C59,'Catalogo Herramientas'!$A$5:$A$19,0)),"")</f>
        <v/>
      </c>
      <c r="E59" s="25"/>
      <c r="F59" s="25"/>
      <c r="G59" s="29" t="str">
        <f>IFERROR(INDEX(Obras!$B$5:$B$54,MATCH(F59,Obras!$A$5:$A$54,0)),"")</f>
        <v/>
      </c>
      <c r="H59" s="21"/>
      <c r="I59" s="28"/>
      <c r="J59" s="21"/>
    </row>
    <row r="60" spans="1:10" x14ac:dyDescent="0.2">
      <c r="A60" s="25"/>
      <c r="B60" s="28"/>
      <c r="C60" s="25"/>
      <c r="D60" s="29" t="str">
        <f>IFERROR(INDEX('Catalogo Herramientas'!$B$5:$B$19,MATCH(C60,'Catalogo Herramientas'!$A$5:$A$19,0)),"")</f>
        <v/>
      </c>
      <c r="E60" s="25"/>
      <c r="F60" s="25"/>
      <c r="G60" s="29" t="str">
        <f>IFERROR(INDEX(Obras!$B$5:$B$54,MATCH(F60,Obras!$A$5:$A$54,0)),"")</f>
        <v/>
      </c>
      <c r="H60" s="21"/>
      <c r="I60" s="28"/>
      <c r="J60" s="21"/>
    </row>
  </sheetData>
  <mergeCells count="2">
    <mergeCell ref="A1:J1"/>
    <mergeCell ref="A2:J2"/>
  </mergeCells>
  <dataValidations count="1">
    <dataValidation type="list" allowBlank="1" sqref="E5:E60" xr:uid="{00000000-0002-0000-0800-000001000000}">
      <formula1>"Asignacion a Obra,Regreso a Bodega,Envio a Mantenimiento,Regreso de Mantenimiento"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800-000000000000}">
          <x14:formula1>
            <xm:f>'Catalogo Herramientas'!$A$5:$A$19</xm:f>
          </x14:formula1>
          <x14:formula2>
            <xm:f>0</xm:f>
          </x14:formula2>
          <xm:sqref>C5:C60</xm:sqref>
        </x14:dataValidation>
        <x14:dataValidation type="list" allowBlank="1" xr:uid="{00000000-0002-0000-0800-000002000000}">
          <x14:formula1>
            <xm:f>Obras!$A$5:$A$54</xm:f>
          </x14:formula1>
          <x14:formula2>
            <xm:f>0</xm:f>
          </x14:formula2>
          <xm:sqref>F5:F60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32.015625" customWidth="1"/>
    <col min="3" max="3" width="20.04296875" customWidth="1"/>
    <col min="4" max="4" width="16.0078125" customWidth="1"/>
    <col min="5" max="5" width="20.04296875" customWidth="1"/>
    <col min="6" max="8" width="16.0078125" customWidth="1"/>
    <col min="9" max="9" width="13.98828125" customWidth="1"/>
    <col min="11" max="12" width="13.046875" hidden="1" customWidth="1"/>
  </cols>
  <sheetData>
    <row r="1" spans="1:12" ht="21.75" customHeight="1" x14ac:dyDescent="0.2">
      <c r="A1" s="14" t="s">
        <v>274</v>
      </c>
      <c r="B1" s="14"/>
      <c r="C1" s="14"/>
      <c r="D1" s="14"/>
      <c r="E1" s="14"/>
      <c r="F1" s="14"/>
      <c r="G1" s="14"/>
      <c r="H1" s="14"/>
      <c r="I1" s="14"/>
    </row>
    <row r="2" spans="1:12" ht="15.75" customHeight="1" x14ac:dyDescent="0.2">
      <c r="A2" s="13" t="s">
        <v>275</v>
      </c>
      <c r="B2" s="13"/>
      <c r="C2" s="13"/>
      <c r="D2" s="13"/>
      <c r="E2" s="13"/>
      <c r="F2" s="13"/>
      <c r="G2" s="13"/>
      <c r="H2" s="13"/>
      <c r="I2" s="13"/>
    </row>
    <row r="4" spans="1:12" ht="24.75" x14ac:dyDescent="0.2">
      <c r="A4" s="24" t="s">
        <v>175</v>
      </c>
      <c r="B4" s="24" t="s">
        <v>192</v>
      </c>
      <c r="C4" s="24" t="s">
        <v>176</v>
      </c>
      <c r="D4" s="24" t="s">
        <v>127</v>
      </c>
      <c r="E4" s="24" t="s">
        <v>276</v>
      </c>
      <c r="F4" s="24" t="s">
        <v>277</v>
      </c>
      <c r="G4" s="24" t="s">
        <v>278</v>
      </c>
      <c r="H4" s="24" t="s">
        <v>259</v>
      </c>
      <c r="I4" s="24" t="s">
        <v>279</v>
      </c>
    </row>
    <row r="5" spans="1:12" x14ac:dyDescent="0.2">
      <c r="A5" s="30" t="str">
        <f>'Catalogo Herramientas'!A5</f>
        <v>HER-001</v>
      </c>
      <c r="B5" s="29" t="str">
        <f>'Catalogo Herramientas'!B5</f>
        <v>Escalera de Aluminio 8 pies</v>
      </c>
      <c r="C5" s="29" t="str">
        <f>'Catalogo Herramientas'!C5</f>
        <v>Escalera</v>
      </c>
      <c r="D5" s="30" t="str">
        <f>IF(L5="Sin Movimientos","Sin Movimientos",IF(L5="Asignacion a Obra","En Obra",IF(L5="Regreso a Bodega","En Bodega",IF(L5="Envio a Mantenimiento","En Mantenimiento",IF(L5="Regreso de Mantenimiento","En Bodega","")))))</f>
        <v>En Obra</v>
      </c>
      <c r="E5" s="29" t="str">
        <f>IF(K5=0,"",IF(D5="En Obra",IFERROR(INDEX('Asignaciones Herramientas'!$G$5:$G$60,MATCH(K5,'Asignaciones Herramientas'!$A$5:$A$60,0)),""),IF(D5="En Bodega","Bodega Central",IF(D5="En Mantenimiento","Taller / Mantenimiento",""))))</f>
        <v>Edificio Corporativo Torre Norte</v>
      </c>
      <c r="F5" s="29" t="str">
        <f>IF(K5=0,"",IFERROR(INDEX('Asignaciones Herramientas'!$H$5:$H$60,MATCH(K5,'Asignaciones Herramientas'!$A$5:$A$60,0)),""))</f>
        <v>Carlos Ruiz</v>
      </c>
      <c r="G5" s="35" t="str">
        <f>IF(K5=0,"",IFERROR(INDEX('Asignaciones Herramientas'!$B$5:$B$60,MATCH(K5,'Asignaciones Herramientas'!$A$5:$A$60,0)),""))</f>
        <v>2026-06-01</v>
      </c>
      <c r="H5" s="35" t="str">
        <f>IF(OR(K5=0,IFERROR(INDEX('Asignaciones Herramientas'!$I$5:$I$60,MATCH(K5,'Asignaciones Herramientas'!$A$5:$A$60,0)),0)=0),"",INDEX('Asignaciones Herramientas'!$I$5:$I$60,MATCH(K5,'Asignaciones Herramientas'!$A$5:$A$60,0)))</f>
        <v>2026-07-01</v>
      </c>
      <c r="I5" s="30" t="str">
        <f ca="1">IF(AND(D5="En Obra",H5&lt;&gt;"",H5&lt;TODAY()),"RETRASADA","")</f>
        <v/>
      </c>
      <c r="K5" s="36">
        <f>IFERROR(_xlfn.MAXIFS('Asignaciones Herramientas'!$A$5:$A$60,'Asignaciones Herramientas'!$C$5:$C$60,A5),0)</f>
        <v>1</v>
      </c>
      <c r="L5" s="36" t="str">
        <f>IF(K5=0,"Sin Movimientos",IFERROR(INDEX('Asignaciones Herramientas'!$E$5:$E$60,MATCH(K5,'Asignaciones Herramientas'!$A$5:$A$60,0)),""))</f>
        <v>Asignacion a Obra</v>
      </c>
    </row>
    <row r="6" spans="1:12" x14ac:dyDescent="0.2">
      <c r="A6" s="30" t="str">
        <f>'Catalogo Herramientas'!A6</f>
        <v>HER-002</v>
      </c>
      <c r="B6" s="29" t="str">
        <f>'Catalogo Herramientas'!B6</f>
        <v>Escalera de Aluminio 12 pies</v>
      </c>
      <c r="C6" s="29" t="str">
        <f>'Catalogo Herramientas'!C6</f>
        <v>Escalera</v>
      </c>
      <c r="D6" s="30" t="str">
        <f>IF(L6="Sin Movimientos","Sin Movimientos",IF(L6="Asignacion a Obra","En Obra",IF(L6="Regreso a Bodega","En Bodega",IF(L6="Envio a Mantenimiento","En Mantenimiento",IF(L6="Regreso de Mantenimiento","En Bodega","")))))</f>
        <v>En Obra</v>
      </c>
      <c r="E6" s="29" t="str">
        <f>IF(K6=0,"",IF(D6="En Obra",IFERROR(INDEX('Asignaciones Herramientas'!$G$5:$G$60,MATCH(K6,'Asignaciones Herramientas'!$A$5:$A$60,0)),""),IF(D6="En Bodega","Bodega Central",IF(D6="En Mantenimiento","Taller / Mantenimiento",""))))</f>
        <v>Fraccionamiento Las Palmas Etapa 2</v>
      </c>
      <c r="F6" s="29" t="str">
        <f>IF(K6=0,"",IFERROR(INDEX('Asignaciones Herramientas'!$H$5:$H$60,MATCH(K6,'Asignaciones Herramientas'!$A$5:$A$60,0)),""))</f>
        <v>Ing. Vega</v>
      </c>
      <c r="G6" s="35" t="str">
        <f>IF(K6=0,"",IFERROR(INDEX('Asignaciones Herramientas'!$B$5:$B$60,MATCH(K6,'Asignaciones Herramientas'!$A$5:$A$60,0)),""))</f>
        <v>2026-06-15</v>
      </c>
      <c r="H6" s="35" t="str">
        <f>IF(OR(K6=0,IFERROR(INDEX('Asignaciones Herramientas'!$I$5:$I$60,MATCH(K6,'Asignaciones Herramientas'!$A$5:$A$60,0)),0)=0),"",INDEX('Asignaciones Herramientas'!$I$5:$I$60,MATCH(K6,'Asignaciones Herramientas'!$A$5:$A$60,0)))</f>
        <v>2026-07-20</v>
      </c>
      <c r="I6" s="30" t="str">
        <f ca="1">IF(AND(D6="En Obra",H6&lt;&gt;"",H6&lt;TODAY()),"RETRASADA","")</f>
        <v/>
      </c>
      <c r="K6" s="36">
        <f>IFERROR(_xlfn.MAXIFS('Asignaciones Herramientas'!$A$5:$A$60,'Asignaciones Herramientas'!$C$5:$C$60,A6),0)</f>
        <v>5</v>
      </c>
      <c r="L6" s="36" t="str">
        <f>IF(K6=0,"Sin Movimientos",IFERROR(INDEX('Asignaciones Herramientas'!$E$5:$E$60,MATCH(K6,'Asignaciones Herramientas'!$A$5:$A$60,0)),""))</f>
        <v>Asignacion a Obra</v>
      </c>
    </row>
    <row r="7" spans="1:12" x14ac:dyDescent="0.2">
      <c r="A7" s="30" t="str">
        <f>'Catalogo Herramientas'!A7</f>
        <v>HER-003</v>
      </c>
      <c r="B7" s="29" t="str">
        <f>'Catalogo Herramientas'!B7</f>
        <v>Escalera de Tijera 6 pies</v>
      </c>
      <c r="C7" s="29" t="str">
        <f>'Catalogo Herramientas'!C7</f>
        <v>Escalera</v>
      </c>
      <c r="D7" s="30" t="str">
        <f>IF(L7="Sin Movimientos","Sin Movimientos",IF(L7="Asignacion a Obra","En Obra",IF(L7="Regreso a Bodega","En Bodega",IF(L7="Envio a Mantenimiento","En Mantenimiento",IF(L7="Regreso de Mantenimiento","En Bodega","")))))</f>
        <v>Sin Movimientos</v>
      </c>
      <c r="E7" s="29" t="str">
        <f>IF(K7=0,"",IF(D7="En Obra",IFERROR(INDEX('Asignaciones Herramientas'!$G$5:$G$60,MATCH(K7,'Asignaciones Herramientas'!$A$5:$A$60,0)),""),IF(D7="En Bodega","Bodega Central",IF(D7="En Mantenimiento","Taller / Mantenimiento",""))))</f>
        <v/>
      </c>
      <c r="F7" s="29" t="str">
        <f>IF(K7=0,"",IFERROR(INDEX('Asignaciones Herramientas'!$H$5:$H$60,MATCH(K7,'Asignaciones Herramientas'!$A$5:$A$60,0)),""))</f>
        <v/>
      </c>
      <c r="G7" s="35" t="str">
        <f>IF(K7=0,"",IFERROR(INDEX('Asignaciones Herramientas'!$B$5:$B$60,MATCH(K7,'Asignaciones Herramientas'!$A$5:$A$60,0)),""))</f>
        <v/>
      </c>
      <c r="H7" s="35" t="str">
        <f>IF(OR(K7=0,IFERROR(INDEX('Asignaciones Herramientas'!$I$5:$I$60,MATCH(K7,'Asignaciones Herramientas'!$A$5:$A$60,0)),0)=0),"",INDEX('Asignaciones Herramientas'!$I$5:$I$60,MATCH(K7,'Asignaciones Herramientas'!$A$5:$A$60,0)))</f>
        <v/>
      </c>
      <c r="I7" s="30" t="str">
        <f ca="1">IF(AND(D7="En Obra",H7&lt;&gt;"",H7&lt;TODAY()),"RETRASADA","")</f>
        <v/>
      </c>
      <c r="K7" s="36">
        <f>IFERROR(_xlfn.MAXIFS('Asignaciones Herramientas'!$A$5:$A$60,'Asignaciones Herramientas'!$C$5:$C$60,A7),0)</f>
        <v>0</v>
      </c>
      <c r="L7" s="36" t="str">
        <f>IF(K7=0,"Sin Movimientos",IFERROR(INDEX('Asignaciones Herramientas'!$E$5:$E$60,MATCH(K7,'Asignaciones Herramientas'!$A$5:$A$60,0)),""))</f>
        <v>Sin Movimientos</v>
      </c>
    </row>
    <row r="8" spans="1:12" x14ac:dyDescent="0.2">
      <c r="A8" s="30" t="str">
        <f>'Catalogo Herramientas'!A8</f>
        <v>HER-004</v>
      </c>
      <c r="B8" s="29" t="str">
        <f>'Catalogo Herramientas'!B8</f>
        <v>Carretilla de Obra</v>
      </c>
      <c r="C8" s="29" t="str">
        <f>'Catalogo Herramientas'!C8</f>
        <v>Carretilla</v>
      </c>
      <c r="D8" s="30" t="str">
        <f>IF(L8="Sin Movimientos","Sin Movimientos",IF(L8="Asignacion a Obra","En Obra",IF(L8="Regreso a Bodega","En Bodega",IF(L8="Envio a Mantenimiento","En Mantenimiento",IF(L8="Regreso de Mantenimiento","En Bodega","")))))</f>
        <v>En Obra</v>
      </c>
      <c r="E8" s="29" t="str">
        <f>IF(K8=0,"",IF(D8="En Obra",IFERROR(INDEX('Asignaciones Herramientas'!$G$5:$G$60,MATCH(K8,'Asignaciones Herramientas'!$A$5:$A$60,0)),""),IF(D8="En Bodega","Bodega Central",IF(D8="En Mantenimiento","Taller / Mantenimiento",""))))</f>
        <v>Plaza Comercial Los Pinos</v>
      </c>
      <c r="F8" s="29" t="str">
        <f>IF(K8=0,"",IFERROR(INDEX('Asignaciones Herramientas'!$H$5:$H$60,MATCH(K8,'Asignaciones Herramientas'!$A$5:$A$60,0)),""))</f>
        <v>Carlos Ruiz</v>
      </c>
      <c r="G8" s="35" t="str">
        <f>IF(K8=0,"",IFERROR(INDEX('Asignaciones Herramientas'!$B$5:$B$60,MATCH(K8,'Asignaciones Herramientas'!$A$5:$A$60,0)),""))</f>
        <v>2026-06-03</v>
      </c>
      <c r="H8" s="35" t="str">
        <f>IF(OR(K8=0,IFERROR(INDEX('Asignaciones Herramientas'!$I$5:$I$60,MATCH(K8,'Asignaciones Herramientas'!$A$5:$A$60,0)),0)=0),"",INDEX('Asignaciones Herramientas'!$I$5:$I$60,MATCH(K8,'Asignaciones Herramientas'!$A$5:$A$60,0)))</f>
        <v>2026-06-30</v>
      </c>
      <c r="I8" s="30" t="str">
        <f ca="1">IF(AND(D8="En Obra",H8&lt;&gt;"",H8&lt;TODAY()),"RETRASADA","")</f>
        <v/>
      </c>
      <c r="K8" s="36">
        <f>IFERROR(_xlfn.MAXIFS('Asignaciones Herramientas'!$A$5:$A$60,'Asignaciones Herramientas'!$C$5:$C$60,A8),0)</f>
        <v>3</v>
      </c>
      <c r="L8" s="36" t="str">
        <f>IF(K8=0,"Sin Movimientos",IFERROR(INDEX('Asignaciones Herramientas'!$E$5:$E$60,MATCH(K8,'Asignaciones Herramientas'!$A$5:$A$60,0)),""))</f>
        <v>Asignacion a Obra</v>
      </c>
    </row>
    <row r="9" spans="1:12" x14ac:dyDescent="0.2">
      <c r="A9" s="30" t="str">
        <f>'Catalogo Herramientas'!A9</f>
        <v>HER-005</v>
      </c>
      <c r="B9" s="29" t="str">
        <f>'Catalogo Herramientas'!B9</f>
        <v>Carretilla de Obra</v>
      </c>
      <c r="C9" s="29" t="str">
        <f>'Catalogo Herramientas'!C9</f>
        <v>Carretilla</v>
      </c>
      <c r="D9" s="30" t="str">
        <f>IF(L9="Sin Movimientos","Sin Movimientos",IF(L9="Asignacion a Obra","En Obra",IF(L9="Regreso a Bodega","En Bodega",IF(L9="Envio a Mantenimiento","En Mantenimiento",IF(L9="Regreso de Mantenimiento","En Bodega","")))))</f>
        <v>Sin Movimientos</v>
      </c>
      <c r="E9" s="29" t="str">
        <f>IF(K9=0,"",IF(D9="En Obra",IFERROR(INDEX('Asignaciones Herramientas'!$G$5:$G$60,MATCH(K9,'Asignaciones Herramientas'!$A$5:$A$60,0)),""),IF(D9="En Bodega","Bodega Central",IF(D9="En Mantenimiento","Taller / Mantenimiento",""))))</f>
        <v/>
      </c>
      <c r="F9" s="29" t="str">
        <f>IF(K9=0,"",IFERROR(INDEX('Asignaciones Herramientas'!$H$5:$H$60,MATCH(K9,'Asignaciones Herramientas'!$A$5:$A$60,0)),""))</f>
        <v/>
      </c>
      <c r="G9" s="35" t="str">
        <f>IF(K9=0,"",IFERROR(INDEX('Asignaciones Herramientas'!$B$5:$B$60,MATCH(K9,'Asignaciones Herramientas'!$A$5:$A$60,0)),""))</f>
        <v/>
      </c>
      <c r="H9" s="35" t="str">
        <f>IF(OR(K9=0,IFERROR(INDEX('Asignaciones Herramientas'!$I$5:$I$60,MATCH(K9,'Asignaciones Herramientas'!$A$5:$A$60,0)),0)=0),"",INDEX('Asignaciones Herramientas'!$I$5:$I$60,MATCH(K9,'Asignaciones Herramientas'!$A$5:$A$60,0)))</f>
        <v/>
      </c>
      <c r="I9" s="30" t="str">
        <f ca="1">IF(AND(D9="En Obra",H9&lt;&gt;"",H9&lt;TODAY()),"RETRASADA","")</f>
        <v/>
      </c>
      <c r="K9" s="36">
        <f>IFERROR(_xlfn.MAXIFS('Asignaciones Herramientas'!$A$5:$A$60,'Asignaciones Herramientas'!$C$5:$C$60,A9),0)</f>
        <v>0</v>
      </c>
      <c r="L9" s="36" t="str">
        <f>IF(K9=0,"Sin Movimientos",IFERROR(INDEX('Asignaciones Herramientas'!$E$5:$E$60,MATCH(K9,'Asignaciones Herramientas'!$A$5:$A$60,0)),""))</f>
        <v>Sin Movimientos</v>
      </c>
    </row>
    <row r="10" spans="1:12" x14ac:dyDescent="0.2">
      <c r="A10" s="30" t="str">
        <f>'Catalogo Herramientas'!A10</f>
        <v>HER-006</v>
      </c>
      <c r="B10" s="29" t="str">
        <f>'Catalogo Herramientas'!B10</f>
        <v>Rotomartillo SDS Plus</v>
      </c>
      <c r="C10" s="29" t="str">
        <f>'Catalogo Herramientas'!C10</f>
        <v>Herramienta Electrica</v>
      </c>
      <c r="D10" s="30" t="str">
        <f>IF(L10="Sin Movimientos","Sin Movimientos",IF(L10="Asignacion a Obra","En Obra",IF(L10="Regreso a Bodega","En Bodega",IF(L10="Envio a Mantenimiento","En Mantenimiento",IF(L10="Regreso de Mantenimiento","En Bodega","")))))</f>
        <v>En Bodega</v>
      </c>
      <c r="E10" s="29" t="str">
        <f>IF(K10=0,"",IF(D10="En Obra",IFERROR(INDEX('Asignaciones Herramientas'!$G$5:$G$60,MATCH(K10,'Asignaciones Herramientas'!$A$5:$A$60,0)),""),IF(D10="En Bodega","Bodega Central",IF(D10="En Mantenimiento","Taller / Mantenimiento",""))))</f>
        <v>Bodega Central</v>
      </c>
      <c r="F10" s="29" t="str">
        <f>IF(K10=0,"",IFERROR(INDEX('Asignaciones Herramientas'!$H$5:$H$60,MATCH(K10,'Asignaciones Herramientas'!$A$5:$A$60,0)),""))</f>
        <v>Cuadrilla A</v>
      </c>
      <c r="G10" s="35" t="str">
        <f>IF(K10=0,"",IFERROR(INDEX('Asignaciones Herramientas'!$B$5:$B$60,MATCH(K10,'Asignaciones Herramientas'!$A$5:$A$60,0)),""))</f>
        <v>2026-06-20</v>
      </c>
      <c r="H10" s="35" t="str">
        <f>IF(OR(K10=0,IFERROR(INDEX('Asignaciones Herramientas'!$I$5:$I$60,MATCH(K10,'Asignaciones Herramientas'!$A$5:$A$60,0)),0)=0),"",INDEX('Asignaciones Herramientas'!$I$5:$I$60,MATCH(K10,'Asignaciones Herramientas'!$A$5:$A$60,0)))</f>
        <v/>
      </c>
      <c r="I10" s="30" t="str">
        <f ca="1">IF(AND(D10="En Obra",H10&lt;&gt;"",H10&lt;TODAY()),"RETRASADA","")</f>
        <v/>
      </c>
      <c r="K10" s="36">
        <f>IFERROR(_xlfn.MAXIFS('Asignaciones Herramientas'!$A$5:$A$60,'Asignaciones Herramientas'!$C$5:$C$60,A10),0)</f>
        <v>6</v>
      </c>
      <c r="L10" s="36" t="str">
        <f>IF(K10=0,"Sin Movimientos",IFERROR(INDEX('Asignaciones Herramientas'!$E$5:$E$60,MATCH(K10,'Asignaciones Herramientas'!$A$5:$A$60,0)),""))</f>
        <v>Regreso a Bodega</v>
      </c>
    </row>
    <row r="11" spans="1:12" x14ac:dyDescent="0.2">
      <c r="A11" s="30" t="str">
        <f>'Catalogo Herramientas'!A11</f>
        <v>HER-007</v>
      </c>
      <c r="B11" s="29" t="str">
        <f>'Catalogo Herramientas'!B11</f>
        <v>Rotomartillo SDS Plus</v>
      </c>
      <c r="C11" s="29" t="str">
        <f>'Catalogo Herramientas'!C11</f>
        <v>Herramienta Electrica</v>
      </c>
      <c r="D11" s="30" t="str">
        <f>IF(L11="Sin Movimientos","Sin Movimientos",IF(L11="Asignacion a Obra","En Obra",IF(L11="Regreso a Bodega","En Bodega",IF(L11="Envio a Mantenimiento","En Mantenimiento",IF(L11="Regreso de Mantenimiento","En Bodega","")))))</f>
        <v>Sin Movimientos</v>
      </c>
      <c r="E11" s="29" t="str">
        <f>IF(K11=0,"",IF(D11="En Obra",IFERROR(INDEX('Asignaciones Herramientas'!$G$5:$G$60,MATCH(K11,'Asignaciones Herramientas'!$A$5:$A$60,0)),""),IF(D11="En Bodega","Bodega Central",IF(D11="En Mantenimiento","Taller / Mantenimiento",""))))</f>
        <v/>
      </c>
      <c r="F11" s="29" t="str">
        <f>IF(K11=0,"",IFERROR(INDEX('Asignaciones Herramientas'!$H$5:$H$60,MATCH(K11,'Asignaciones Herramientas'!$A$5:$A$60,0)),""))</f>
        <v/>
      </c>
      <c r="G11" s="35" t="str">
        <f>IF(K11=0,"",IFERROR(INDEX('Asignaciones Herramientas'!$B$5:$B$60,MATCH(K11,'Asignaciones Herramientas'!$A$5:$A$60,0)),""))</f>
        <v/>
      </c>
      <c r="H11" s="35" t="str">
        <f>IF(OR(K11=0,IFERROR(INDEX('Asignaciones Herramientas'!$I$5:$I$60,MATCH(K11,'Asignaciones Herramientas'!$A$5:$A$60,0)),0)=0),"",INDEX('Asignaciones Herramientas'!$I$5:$I$60,MATCH(K11,'Asignaciones Herramientas'!$A$5:$A$60,0)))</f>
        <v/>
      </c>
      <c r="I11" s="30" t="str">
        <f ca="1">IF(AND(D11="En Obra",H11&lt;&gt;"",H11&lt;TODAY()),"RETRASADA","")</f>
        <v/>
      </c>
      <c r="K11" s="36">
        <f>IFERROR(_xlfn.MAXIFS('Asignaciones Herramientas'!$A$5:$A$60,'Asignaciones Herramientas'!$C$5:$C$60,A11),0)</f>
        <v>0</v>
      </c>
      <c r="L11" s="36" t="str">
        <f>IF(K11=0,"Sin Movimientos",IFERROR(INDEX('Asignaciones Herramientas'!$E$5:$E$60,MATCH(K11,'Asignaciones Herramientas'!$A$5:$A$60,0)),""))</f>
        <v>Sin Movimientos</v>
      </c>
    </row>
    <row r="12" spans="1:12" x14ac:dyDescent="0.2">
      <c r="A12" s="30" t="str">
        <f>'Catalogo Herramientas'!A12</f>
        <v>HER-008</v>
      </c>
      <c r="B12" s="29" t="str">
        <f>'Catalogo Herramientas'!B12</f>
        <v>Taladro Percutor</v>
      </c>
      <c r="C12" s="29" t="str">
        <f>'Catalogo Herramientas'!C12</f>
        <v>Herramienta Electrica</v>
      </c>
      <c r="D12" s="30" t="str">
        <f>IF(L12="Sin Movimientos","Sin Movimientos",IF(L12="Asignacion a Obra","En Obra",IF(L12="Regreso a Bodega","En Bodega",IF(L12="Envio a Mantenimiento","En Mantenimiento",IF(L12="Regreso de Mantenimiento","En Bodega","")))))</f>
        <v>Sin Movimientos</v>
      </c>
      <c r="E12" s="29" t="str">
        <f>IF(K12=0,"",IF(D12="En Obra",IFERROR(INDEX('Asignaciones Herramientas'!$G$5:$G$60,MATCH(K12,'Asignaciones Herramientas'!$A$5:$A$60,0)),""),IF(D12="En Bodega","Bodega Central",IF(D12="En Mantenimiento","Taller / Mantenimiento",""))))</f>
        <v/>
      </c>
      <c r="F12" s="29" t="str">
        <f>IF(K12=0,"",IFERROR(INDEX('Asignaciones Herramientas'!$H$5:$H$60,MATCH(K12,'Asignaciones Herramientas'!$A$5:$A$60,0)),""))</f>
        <v/>
      </c>
      <c r="G12" s="35" t="str">
        <f>IF(K12=0,"",IFERROR(INDEX('Asignaciones Herramientas'!$B$5:$B$60,MATCH(K12,'Asignaciones Herramientas'!$A$5:$A$60,0)),""))</f>
        <v/>
      </c>
      <c r="H12" s="35" t="str">
        <f>IF(OR(K12=0,IFERROR(INDEX('Asignaciones Herramientas'!$I$5:$I$60,MATCH(K12,'Asignaciones Herramientas'!$A$5:$A$60,0)),0)=0),"",INDEX('Asignaciones Herramientas'!$I$5:$I$60,MATCH(K12,'Asignaciones Herramientas'!$A$5:$A$60,0)))</f>
        <v/>
      </c>
      <c r="I12" s="30" t="str">
        <f ca="1">IF(AND(D12="En Obra",H12&lt;&gt;"",H12&lt;TODAY()),"RETRASADA","")</f>
        <v/>
      </c>
      <c r="K12" s="36">
        <f>IFERROR(_xlfn.MAXIFS('Asignaciones Herramientas'!$A$5:$A$60,'Asignaciones Herramientas'!$C$5:$C$60,A12),0)</f>
        <v>0</v>
      </c>
      <c r="L12" s="36" t="str">
        <f>IF(K12=0,"Sin Movimientos",IFERROR(INDEX('Asignaciones Herramientas'!$E$5:$E$60,MATCH(K12,'Asignaciones Herramientas'!$A$5:$A$60,0)),""))</f>
        <v>Sin Movimientos</v>
      </c>
    </row>
    <row r="13" spans="1:12" x14ac:dyDescent="0.2">
      <c r="A13" s="30" t="str">
        <f>'Catalogo Herramientas'!A13</f>
        <v>HER-009</v>
      </c>
      <c r="B13" s="29" t="str">
        <f>'Catalogo Herramientas'!B13</f>
        <v>Esmeriladora Angular</v>
      </c>
      <c r="C13" s="29" t="str">
        <f>'Catalogo Herramientas'!C13</f>
        <v>Herramienta Electrica</v>
      </c>
      <c r="D13" s="30" t="str">
        <f>IF(L13="Sin Movimientos","Sin Movimientos",IF(L13="Asignacion a Obra","En Obra",IF(L13="Regreso a Bodega","En Bodega",IF(L13="Envio a Mantenimiento","En Mantenimiento",IF(L13="Regreso de Mantenimiento","En Bodega","")))))</f>
        <v>Sin Movimientos</v>
      </c>
      <c r="E13" s="29" t="str">
        <f>IF(K13=0,"",IF(D13="En Obra",IFERROR(INDEX('Asignaciones Herramientas'!$G$5:$G$60,MATCH(K13,'Asignaciones Herramientas'!$A$5:$A$60,0)),""),IF(D13="En Bodega","Bodega Central",IF(D13="En Mantenimiento","Taller / Mantenimiento",""))))</f>
        <v/>
      </c>
      <c r="F13" s="29" t="str">
        <f>IF(K13=0,"",IFERROR(INDEX('Asignaciones Herramientas'!$H$5:$H$60,MATCH(K13,'Asignaciones Herramientas'!$A$5:$A$60,0)),""))</f>
        <v/>
      </c>
      <c r="G13" s="35" t="str">
        <f>IF(K13=0,"",IFERROR(INDEX('Asignaciones Herramientas'!$B$5:$B$60,MATCH(K13,'Asignaciones Herramientas'!$A$5:$A$60,0)),""))</f>
        <v/>
      </c>
      <c r="H13" s="35" t="str">
        <f>IF(OR(K13=0,IFERROR(INDEX('Asignaciones Herramientas'!$I$5:$I$60,MATCH(K13,'Asignaciones Herramientas'!$A$5:$A$60,0)),0)=0),"",INDEX('Asignaciones Herramientas'!$I$5:$I$60,MATCH(K13,'Asignaciones Herramientas'!$A$5:$A$60,0)))</f>
        <v/>
      </c>
      <c r="I13" s="30" t="str">
        <f ca="1">IF(AND(D13="En Obra",H13&lt;&gt;"",H13&lt;TODAY()),"RETRASADA","")</f>
        <v/>
      </c>
      <c r="K13" s="36">
        <f>IFERROR(_xlfn.MAXIFS('Asignaciones Herramientas'!$A$5:$A$60,'Asignaciones Herramientas'!$C$5:$C$60,A13),0)</f>
        <v>0</v>
      </c>
      <c r="L13" s="36" t="str">
        <f>IF(K13=0,"Sin Movimientos",IFERROR(INDEX('Asignaciones Herramientas'!$E$5:$E$60,MATCH(K13,'Asignaciones Herramientas'!$A$5:$A$60,0)),""))</f>
        <v>Sin Movimientos</v>
      </c>
    </row>
    <row r="14" spans="1:12" x14ac:dyDescent="0.2">
      <c r="A14" s="30" t="str">
        <f>'Catalogo Herramientas'!A14</f>
        <v>HER-010</v>
      </c>
      <c r="B14" s="29" t="str">
        <f>'Catalogo Herramientas'!B14</f>
        <v>Maquina Soldadora Inverter</v>
      </c>
      <c r="C14" s="29" t="str">
        <f>'Catalogo Herramientas'!C14</f>
        <v>Soldadura</v>
      </c>
      <c r="D14" s="30" t="str">
        <f>IF(L14="Sin Movimientos","Sin Movimientos",IF(L14="Asignacion a Obra","En Obra",IF(L14="Regreso a Bodega","En Bodega",IF(L14="Envio a Mantenimiento","En Mantenimiento",IF(L14="Regreso de Mantenimiento","En Bodega","")))))</f>
        <v>Sin Movimientos</v>
      </c>
      <c r="E14" s="29" t="str">
        <f>IF(K14=0,"",IF(D14="En Obra",IFERROR(INDEX('Asignaciones Herramientas'!$G$5:$G$60,MATCH(K14,'Asignaciones Herramientas'!$A$5:$A$60,0)),""),IF(D14="En Bodega","Bodega Central",IF(D14="En Mantenimiento","Taller / Mantenimiento",""))))</f>
        <v/>
      </c>
      <c r="F14" s="29" t="str">
        <f>IF(K14=0,"",IFERROR(INDEX('Asignaciones Herramientas'!$H$5:$H$60,MATCH(K14,'Asignaciones Herramientas'!$A$5:$A$60,0)),""))</f>
        <v/>
      </c>
      <c r="G14" s="35" t="str">
        <f>IF(K14=0,"",IFERROR(INDEX('Asignaciones Herramientas'!$B$5:$B$60,MATCH(K14,'Asignaciones Herramientas'!$A$5:$A$60,0)),""))</f>
        <v/>
      </c>
      <c r="H14" s="35" t="str">
        <f>IF(OR(K14=0,IFERROR(INDEX('Asignaciones Herramientas'!$I$5:$I$60,MATCH(K14,'Asignaciones Herramientas'!$A$5:$A$60,0)),0)=0),"",INDEX('Asignaciones Herramientas'!$I$5:$I$60,MATCH(K14,'Asignaciones Herramientas'!$A$5:$A$60,0)))</f>
        <v/>
      </c>
      <c r="I14" s="30" t="str">
        <f ca="1">IF(AND(D14="En Obra",H14&lt;&gt;"",H14&lt;TODAY()),"RETRASADA","")</f>
        <v/>
      </c>
      <c r="K14" s="36">
        <f>IFERROR(_xlfn.MAXIFS('Asignaciones Herramientas'!$A$5:$A$60,'Asignaciones Herramientas'!$C$5:$C$60,A14),0)</f>
        <v>0</v>
      </c>
      <c r="L14" s="36" t="str">
        <f>IF(K14=0,"Sin Movimientos",IFERROR(INDEX('Asignaciones Herramientas'!$E$5:$E$60,MATCH(K14,'Asignaciones Herramientas'!$A$5:$A$60,0)),""))</f>
        <v>Sin Movimientos</v>
      </c>
    </row>
    <row r="15" spans="1:12" x14ac:dyDescent="0.2">
      <c r="A15" s="30" t="str">
        <f>'Catalogo Herramientas'!A15</f>
        <v>HER-011</v>
      </c>
      <c r="B15" s="29" t="str">
        <f>'Catalogo Herramientas'!B15</f>
        <v>Multimetro Digital</v>
      </c>
      <c r="C15" s="29" t="str">
        <f>'Catalogo Herramientas'!C15</f>
        <v>Medicion</v>
      </c>
      <c r="D15" s="30" t="str">
        <f>IF(L15="Sin Movimientos","Sin Movimientos",IF(L15="Asignacion a Obra","En Obra",IF(L15="Regreso a Bodega","En Bodega",IF(L15="Envio a Mantenimiento","En Mantenimiento",IF(L15="Regreso de Mantenimiento","En Bodega","")))))</f>
        <v>Sin Movimientos</v>
      </c>
      <c r="E15" s="29" t="str">
        <f>IF(K15=0,"",IF(D15="En Obra",IFERROR(INDEX('Asignaciones Herramientas'!$G$5:$G$60,MATCH(K15,'Asignaciones Herramientas'!$A$5:$A$60,0)),""),IF(D15="En Bodega","Bodega Central",IF(D15="En Mantenimiento","Taller / Mantenimiento",""))))</f>
        <v/>
      </c>
      <c r="F15" s="29" t="str">
        <f>IF(K15=0,"",IFERROR(INDEX('Asignaciones Herramientas'!$H$5:$H$60,MATCH(K15,'Asignaciones Herramientas'!$A$5:$A$60,0)),""))</f>
        <v/>
      </c>
      <c r="G15" s="35" t="str">
        <f>IF(K15=0,"",IFERROR(INDEX('Asignaciones Herramientas'!$B$5:$B$60,MATCH(K15,'Asignaciones Herramientas'!$A$5:$A$60,0)),""))</f>
        <v/>
      </c>
      <c r="H15" s="35" t="str">
        <f>IF(OR(K15=0,IFERROR(INDEX('Asignaciones Herramientas'!$I$5:$I$60,MATCH(K15,'Asignaciones Herramientas'!$A$5:$A$60,0)),0)=0),"",INDEX('Asignaciones Herramientas'!$I$5:$I$60,MATCH(K15,'Asignaciones Herramientas'!$A$5:$A$60,0)))</f>
        <v/>
      </c>
      <c r="I15" s="30" t="str">
        <f ca="1">IF(AND(D15="En Obra",H15&lt;&gt;"",H15&lt;TODAY()),"RETRASADA","")</f>
        <v/>
      </c>
      <c r="K15" s="36">
        <f>IFERROR(_xlfn.MAXIFS('Asignaciones Herramientas'!$A$5:$A$60,'Asignaciones Herramientas'!$C$5:$C$60,A15),0)</f>
        <v>0</v>
      </c>
      <c r="L15" s="36" t="str">
        <f>IF(K15=0,"Sin Movimientos",IFERROR(INDEX('Asignaciones Herramientas'!$E$5:$E$60,MATCH(K15,'Asignaciones Herramientas'!$A$5:$A$60,0)),""))</f>
        <v>Sin Movimientos</v>
      </c>
    </row>
    <row r="16" spans="1:12" x14ac:dyDescent="0.2">
      <c r="A16" s="30" t="str">
        <f>'Catalogo Herramientas'!A16</f>
        <v>HER-012</v>
      </c>
      <c r="B16" s="29" t="str">
        <f>'Catalogo Herramientas'!B16</f>
        <v>Detector de Voltaje</v>
      </c>
      <c r="C16" s="29" t="str">
        <f>'Catalogo Herramientas'!C16</f>
        <v>Medicion</v>
      </c>
      <c r="D16" s="30" t="str">
        <f>IF(L16="Sin Movimientos","Sin Movimientos",IF(L16="Asignacion a Obra","En Obra",IF(L16="Regreso a Bodega","En Bodega",IF(L16="Envio a Mantenimiento","En Mantenimiento",IF(L16="Regreso de Mantenimiento","En Bodega","")))))</f>
        <v>Sin Movimientos</v>
      </c>
      <c r="E16" s="29" t="str">
        <f>IF(K16=0,"",IF(D16="En Obra",IFERROR(INDEX('Asignaciones Herramientas'!$G$5:$G$60,MATCH(K16,'Asignaciones Herramientas'!$A$5:$A$60,0)),""),IF(D16="En Bodega","Bodega Central",IF(D16="En Mantenimiento","Taller / Mantenimiento",""))))</f>
        <v/>
      </c>
      <c r="F16" s="29" t="str">
        <f>IF(K16=0,"",IFERROR(INDEX('Asignaciones Herramientas'!$H$5:$H$60,MATCH(K16,'Asignaciones Herramientas'!$A$5:$A$60,0)),""))</f>
        <v/>
      </c>
      <c r="G16" s="35" t="str">
        <f>IF(K16=0,"",IFERROR(INDEX('Asignaciones Herramientas'!$B$5:$B$60,MATCH(K16,'Asignaciones Herramientas'!$A$5:$A$60,0)),""))</f>
        <v/>
      </c>
      <c r="H16" s="35" t="str">
        <f>IF(OR(K16=0,IFERROR(INDEX('Asignaciones Herramientas'!$I$5:$I$60,MATCH(K16,'Asignaciones Herramientas'!$A$5:$A$60,0)),0)=0),"",INDEX('Asignaciones Herramientas'!$I$5:$I$60,MATCH(K16,'Asignaciones Herramientas'!$A$5:$A$60,0)))</f>
        <v/>
      </c>
      <c r="I16" s="30" t="str">
        <f ca="1">IF(AND(D16="En Obra",H16&lt;&gt;"",H16&lt;TODAY()),"RETRASADA","")</f>
        <v/>
      </c>
      <c r="K16" s="36">
        <f>IFERROR(_xlfn.MAXIFS('Asignaciones Herramientas'!$A$5:$A$60,'Asignaciones Herramientas'!$C$5:$C$60,A16),0)</f>
        <v>0</v>
      </c>
      <c r="L16" s="36" t="str">
        <f>IF(K16=0,"Sin Movimientos",IFERROR(INDEX('Asignaciones Herramientas'!$E$5:$E$60,MATCH(K16,'Asignaciones Herramientas'!$A$5:$A$60,0)),""))</f>
        <v>Sin Movimientos</v>
      </c>
    </row>
    <row r="17" spans="1:12" x14ac:dyDescent="0.2">
      <c r="A17" s="30" t="str">
        <f>'Catalogo Herramientas'!A17</f>
        <v>HER-013</v>
      </c>
      <c r="B17" s="29" t="str">
        <f>'Catalogo Herramientas'!B17</f>
        <v>Compresor de Aire Portatil</v>
      </c>
      <c r="C17" s="29" t="str">
        <f>'Catalogo Herramientas'!C17</f>
        <v>Equipo Neumatico</v>
      </c>
      <c r="D17" s="30" t="str">
        <f>IF(L17="Sin Movimientos","Sin Movimientos",IF(L17="Asignacion a Obra","En Obra",IF(L17="Regreso a Bodega","En Bodega",IF(L17="Envio a Mantenimiento","En Mantenimiento",IF(L17="Regreso de Mantenimiento","En Bodega","")))))</f>
        <v>En Mantenimiento</v>
      </c>
      <c r="E17" s="29" t="str">
        <f>IF(K17=0,"",IF(D17="En Obra",IFERROR(INDEX('Asignaciones Herramientas'!$G$5:$G$60,MATCH(K17,'Asignaciones Herramientas'!$A$5:$A$60,0)),""),IF(D17="En Bodega","Bodega Central",IF(D17="En Mantenimiento","Taller / Mantenimiento",""))))</f>
        <v>Taller / Mantenimiento</v>
      </c>
      <c r="F17" s="29" t="str">
        <f>IF(K17=0,"",IFERROR(INDEX('Asignaciones Herramientas'!$H$5:$H$60,MATCH(K17,'Asignaciones Herramientas'!$A$5:$A$60,0)),""))</f>
        <v>Taller Externo</v>
      </c>
      <c r="G17" s="35" t="str">
        <f>IF(K17=0,"",IFERROR(INDEX('Asignaciones Herramientas'!$B$5:$B$60,MATCH(K17,'Asignaciones Herramientas'!$A$5:$A$60,0)),""))</f>
        <v>2026-06-10</v>
      </c>
      <c r="H17" s="35" t="str">
        <f>IF(OR(K17=0,IFERROR(INDEX('Asignaciones Herramientas'!$I$5:$I$60,MATCH(K17,'Asignaciones Herramientas'!$A$5:$A$60,0)),0)=0),"",INDEX('Asignaciones Herramientas'!$I$5:$I$60,MATCH(K17,'Asignaciones Herramientas'!$A$5:$A$60,0)))</f>
        <v/>
      </c>
      <c r="I17" s="30" t="str">
        <f ca="1">IF(AND(D17="En Obra",H17&lt;&gt;"",H17&lt;TODAY()),"RETRASADA","")</f>
        <v/>
      </c>
      <c r="K17" s="36">
        <f>IFERROR(_xlfn.MAXIFS('Asignaciones Herramientas'!$A$5:$A$60,'Asignaciones Herramientas'!$C$5:$C$60,A17),0)</f>
        <v>4</v>
      </c>
      <c r="L17" s="36" t="str">
        <f>IF(K17=0,"Sin Movimientos",IFERROR(INDEX('Asignaciones Herramientas'!$E$5:$E$60,MATCH(K17,'Asignaciones Herramientas'!$A$5:$A$60,0)),""))</f>
        <v>Envio a Mantenimiento</v>
      </c>
    </row>
    <row r="18" spans="1:12" x14ac:dyDescent="0.2">
      <c r="A18" s="30" t="str">
        <f>'Catalogo Herramientas'!A18</f>
        <v>HER-014</v>
      </c>
      <c r="B18" s="29" t="str">
        <f>'Catalogo Herramientas'!B18</f>
        <v>Cortadora de Tubo PVC</v>
      </c>
      <c r="C18" s="29" t="str">
        <f>'Catalogo Herramientas'!C18</f>
        <v>Plomeria</v>
      </c>
      <c r="D18" s="30" t="str">
        <f>IF(L18="Sin Movimientos","Sin Movimientos",IF(L18="Asignacion a Obra","En Obra",IF(L18="Regreso a Bodega","En Bodega",IF(L18="Envio a Mantenimiento","En Mantenimiento",IF(L18="Regreso de Mantenimiento","En Bodega","")))))</f>
        <v>Sin Movimientos</v>
      </c>
      <c r="E18" s="29" t="str">
        <f>IF(K18=0,"",IF(D18="En Obra",IFERROR(INDEX('Asignaciones Herramientas'!$G$5:$G$60,MATCH(K18,'Asignaciones Herramientas'!$A$5:$A$60,0)),""),IF(D18="En Bodega","Bodega Central",IF(D18="En Mantenimiento","Taller / Mantenimiento",""))))</f>
        <v/>
      </c>
      <c r="F18" s="29" t="str">
        <f>IF(K18=0,"",IFERROR(INDEX('Asignaciones Herramientas'!$H$5:$H$60,MATCH(K18,'Asignaciones Herramientas'!$A$5:$A$60,0)),""))</f>
        <v/>
      </c>
      <c r="G18" s="35" t="str">
        <f>IF(K18=0,"",IFERROR(INDEX('Asignaciones Herramientas'!$B$5:$B$60,MATCH(K18,'Asignaciones Herramientas'!$A$5:$A$60,0)),""))</f>
        <v/>
      </c>
      <c r="H18" s="35" t="str">
        <f>IF(OR(K18=0,IFERROR(INDEX('Asignaciones Herramientas'!$I$5:$I$60,MATCH(K18,'Asignaciones Herramientas'!$A$5:$A$60,0)),0)=0),"",INDEX('Asignaciones Herramientas'!$I$5:$I$60,MATCH(K18,'Asignaciones Herramientas'!$A$5:$A$60,0)))</f>
        <v/>
      </c>
      <c r="I18" s="30" t="str">
        <f ca="1">IF(AND(D18="En Obra",H18&lt;&gt;"",H18&lt;TODAY()),"RETRASADA","")</f>
        <v/>
      </c>
      <c r="K18" s="36">
        <f>IFERROR(_xlfn.MAXIFS('Asignaciones Herramientas'!$A$5:$A$60,'Asignaciones Herramientas'!$C$5:$C$60,A18),0)</f>
        <v>0</v>
      </c>
      <c r="L18" s="36" t="str">
        <f>IF(K18=0,"Sin Movimientos",IFERROR(INDEX('Asignaciones Herramientas'!$E$5:$E$60,MATCH(K18,'Asignaciones Herramientas'!$A$5:$A$60,0)),""))</f>
        <v>Sin Movimientos</v>
      </c>
    </row>
    <row r="19" spans="1:12" x14ac:dyDescent="0.2">
      <c r="A19" s="30" t="str">
        <f>'Catalogo Herramientas'!A19</f>
        <v>HER-015</v>
      </c>
      <c r="B19" s="29" t="str">
        <f>'Catalogo Herramientas'!B19</f>
        <v>Nivel Laser</v>
      </c>
      <c r="C19" s="29" t="str">
        <f>'Catalogo Herramientas'!C19</f>
        <v>Medicion</v>
      </c>
      <c r="D19" s="30" t="str">
        <f>IF(L19="Sin Movimientos","Sin Movimientos",IF(L19="Asignacion a Obra","En Obra",IF(L19="Regreso a Bodega","En Bodega",IF(L19="Envio a Mantenimiento","En Mantenimiento",IF(L19="Regreso de Mantenimiento","En Bodega","")))))</f>
        <v>Sin Movimientos</v>
      </c>
      <c r="E19" s="29" t="str">
        <f>IF(K19=0,"",IF(D19="En Obra",IFERROR(INDEX('Asignaciones Herramientas'!$G$5:$G$60,MATCH(K19,'Asignaciones Herramientas'!$A$5:$A$60,0)),""),IF(D19="En Bodega","Bodega Central",IF(D19="En Mantenimiento","Taller / Mantenimiento",""))))</f>
        <v/>
      </c>
      <c r="F19" s="29" t="str">
        <f>IF(K19=0,"",IFERROR(INDEX('Asignaciones Herramientas'!$H$5:$H$60,MATCH(K19,'Asignaciones Herramientas'!$A$5:$A$60,0)),""))</f>
        <v/>
      </c>
      <c r="G19" s="35" t="str">
        <f>IF(K19=0,"",IFERROR(INDEX('Asignaciones Herramientas'!$B$5:$B$60,MATCH(K19,'Asignaciones Herramientas'!$A$5:$A$60,0)),""))</f>
        <v/>
      </c>
      <c r="H19" s="35" t="str">
        <f>IF(OR(K19=0,IFERROR(INDEX('Asignaciones Herramientas'!$I$5:$I$60,MATCH(K19,'Asignaciones Herramientas'!$A$5:$A$60,0)),0)=0),"",INDEX('Asignaciones Herramientas'!$I$5:$I$60,MATCH(K19,'Asignaciones Herramientas'!$A$5:$A$60,0)))</f>
        <v/>
      </c>
      <c r="I19" s="30" t="str">
        <f ca="1">IF(AND(D19="En Obra",H19&lt;&gt;"",H19&lt;TODAY()),"RETRASADA","")</f>
        <v/>
      </c>
      <c r="K19" s="36">
        <f>IFERROR(_xlfn.MAXIFS('Asignaciones Herramientas'!$A$5:$A$60,'Asignaciones Herramientas'!$C$5:$C$60,A19),0)</f>
        <v>0</v>
      </c>
      <c r="L19" s="36" t="str">
        <f>IF(K19=0,"Sin Movimientos",IFERROR(INDEX('Asignaciones Herramientas'!$E$5:$E$60,MATCH(K19,'Asignaciones Herramientas'!$A$5:$A$60,0)),""))</f>
        <v>Sin Movimientos</v>
      </c>
    </row>
  </sheetData>
  <mergeCells count="2">
    <mergeCell ref="A1:I1"/>
    <mergeCell ref="A2:I2"/>
  </mergeCells>
  <conditionalFormatting sqref="D5:D19">
    <cfRule type="cellIs" dxfId="5" priority="3" operator="equal">
      <formula>"En Mantenimiento"</formula>
    </cfRule>
    <cfRule type="cellIs" dxfId="4" priority="4" operator="equal">
      <formula>"En Bodega"</formula>
    </cfRule>
  </conditionalFormatting>
  <conditionalFormatting sqref="I5:I19">
    <cfRule type="cellIs" dxfId="3" priority="2" operator="equal">
      <formula>"RETRASADA"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41.96875" customWidth="1"/>
    <col min="3" max="3" width="13.98828125" customWidth="1"/>
    <col min="4" max="4" width="18.0234375" customWidth="1"/>
    <col min="5" max="5" width="20.04296875" customWidth="1"/>
  </cols>
  <sheetData>
    <row r="1" spans="1:5" ht="21.75" customHeight="1" x14ac:dyDescent="0.2">
      <c r="A1" s="14" t="s">
        <v>280</v>
      </c>
      <c r="B1" s="14"/>
      <c r="C1" s="14"/>
      <c r="D1" s="14"/>
      <c r="E1" s="14"/>
    </row>
    <row r="2" spans="1:5" ht="15.75" customHeight="1" x14ac:dyDescent="0.2">
      <c r="A2" s="13" t="s">
        <v>281</v>
      </c>
      <c r="B2" s="13"/>
      <c r="C2" s="13"/>
      <c r="D2" s="13"/>
      <c r="E2" s="13"/>
    </row>
    <row r="4" spans="1:5" ht="24.75" x14ac:dyDescent="0.2">
      <c r="A4" s="24" t="s">
        <v>175</v>
      </c>
      <c r="B4" s="24" t="s">
        <v>282</v>
      </c>
      <c r="C4" s="24" t="s">
        <v>71</v>
      </c>
      <c r="D4" s="24" t="s">
        <v>283</v>
      </c>
      <c r="E4" s="24" t="s">
        <v>176</v>
      </c>
    </row>
    <row r="5" spans="1:5" x14ac:dyDescent="0.2">
      <c r="A5" s="21" t="s">
        <v>284</v>
      </c>
      <c r="B5" s="21" t="s">
        <v>285</v>
      </c>
      <c r="C5" s="25" t="s">
        <v>77</v>
      </c>
      <c r="D5" s="26">
        <v>55</v>
      </c>
      <c r="E5" s="21" t="s">
        <v>248</v>
      </c>
    </row>
    <row r="6" spans="1:5" x14ac:dyDescent="0.2">
      <c r="A6" s="21" t="s">
        <v>286</v>
      </c>
      <c r="B6" s="21" t="s">
        <v>287</v>
      </c>
      <c r="C6" s="25" t="s">
        <v>77</v>
      </c>
      <c r="D6" s="26">
        <v>68</v>
      </c>
      <c r="E6" s="21" t="s">
        <v>248</v>
      </c>
    </row>
    <row r="7" spans="1:5" x14ac:dyDescent="0.2">
      <c r="A7" s="21" t="s">
        <v>288</v>
      </c>
      <c r="B7" s="21" t="s">
        <v>289</v>
      </c>
      <c r="C7" s="25" t="s">
        <v>77</v>
      </c>
      <c r="D7" s="26">
        <v>62</v>
      </c>
      <c r="E7" s="21" t="s">
        <v>290</v>
      </c>
    </row>
    <row r="8" spans="1:5" x14ac:dyDescent="0.2">
      <c r="A8" s="21" t="s">
        <v>291</v>
      </c>
      <c r="B8" s="21" t="s">
        <v>292</v>
      </c>
      <c r="C8" s="25" t="s">
        <v>77</v>
      </c>
      <c r="D8" s="26">
        <v>28</v>
      </c>
      <c r="E8" s="21" t="s">
        <v>290</v>
      </c>
    </row>
    <row r="9" spans="1:5" x14ac:dyDescent="0.2">
      <c r="A9" s="21" t="s">
        <v>293</v>
      </c>
      <c r="B9" s="21" t="s">
        <v>294</v>
      </c>
      <c r="C9" s="25" t="s">
        <v>77</v>
      </c>
      <c r="D9" s="26">
        <v>38</v>
      </c>
      <c r="E9" s="21" t="s">
        <v>290</v>
      </c>
    </row>
    <row r="10" spans="1:5" x14ac:dyDescent="0.2">
      <c r="A10" s="21" t="s">
        <v>295</v>
      </c>
      <c r="B10" s="21" t="s">
        <v>296</v>
      </c>
      <c r="C10" s="25" t="s">
        <v>89</v>
      </c>
      <c r="D10" s="26">
        <v>280</v>
      </c>
      <c r="E10" s="21" t="s">
        <v>290</v>
      </c>
    </row>
    <row r="11" spans="1:5" x14ac:dyDescent="0.2">
      <c r="A11" s="21" t="s">
        <v>297</v>
      </c>
      <c r="B11" s="21" t="s">
        <v>298</v>
      </c>
      <c r="C11" s="25" t="s">
        <v>89</v>
      </c>
      <c r="D11" s="26">
        <v>480</v>
      </c>
      <c r="E11" s="21" t="s">
        <v>290</v>
      </c>
    </row>
    <row r="12" spans="1:5" x14ac:dyDescent="0.2">
      <c r="A12" s="21" t="s">
        <v>299</v>
      </c>
      <c r="B12" s="21" t="s">
        <v>300</v>
      </c>
      <c r="C12" s="25" t="s">
        <v>89</v>
      </c>
      <c r="D12" s="26">
        <v>250</v>
      </c>
      <c r="E12" s="21" t="s">
        <v>290</v>
      </c>
    </row>
    <row r="13" spans="1:5" x14ac:dyDescent="0.2">
      <c r="A13" s="21" t="s">
        <v>301</v>
      </c>
      <c r="B13" s="21" t="s">
        <v>302</v>
      </c>
      <c r="C13" s="25" t="s">
        <v>89</v>
      </c>
      <c r="D13" s="26">
        <v>480</v>
      </c>
      <c r="E13" s="21" t="s">
        <v>290</v>
      </c>
    </row>
    <row r="14" spans="1:5" x14ac:dyDescent="0.2">
      <c r="A14" s="21" t="s">
        <v>303</v>
      </c>
      <c r="B14" s="21" t="s">
        <v>304</v>
      </c>
      <c r="C14" s="25" t="s">
        <v>89</v>
      </c>
      <c r="D14" s="26">
        <v>780</v>
      </c>
      <c r="E14" s="21" t="s">
        <v>290</v>
      </c>
    </row>
    <row r="15" spans="1:5" x14ac:dyDescent="0.2">
      <c r="A15" s="21" t="s">
        <v>305</v>
      </c>
      <c r="B15" s="21" t="s">
        <v>306</v>
      </c>
      <c r="C15" s="25" t="s">
        <v>89</v>
      </c>
      <c r="D15" s="26">
        <v>180</v>
      </c>
      <c r="E15" s="21" t="s">
        <v>248</v>
      </c>
    </row>
    <row r="16" spans="1:5" x14ac:dyDescent="0.2">
      <c r="A16" s="21" t="s">
        <v>307</v>
      </c>
      <c r="B16" s="21" t="s">
        <v>308</v>
      </c>
      <c r="C16" s="25" t="s">
        <v>89</v>
      </c>
      <c r="D16" s="26">
        <v>120</v>
      </c>
      <c r="E16" s="21" t="s">
        <v>290</v>
      </c>
    </row>
    <row r="17" spans="1:5" x14ac:dyDescent="0.2">
      <c r="A17" s="21" t="s">
        <v>309</v>
      </c>
      <c r="B17" s="21" t="s">
        <v>310</v>
      </c>
      <c r="C17" s="25" t="s">
        <v>89</v>
      </c>
      <c r="D17" s="26">
        <v>250</v>
      </c>
      <c r="E17" s="21" t="s">
        <v>290</v>
      </c>
    </row>
    <row r="18" spans="1:5" x14ac:dyDescent="0.2">
      <c r="A18" s="21" t="s">
        <v>311</v>
      </c>
      <c r="B18" s="21" t="s">
        <v>312</v>
      </c>
      <c r="C18" s="25" t="s">
        <v>89</v>
      </c>
      <c r="D18" s="26">
        <v>2200</v>
      </c>
      <c r="E18" s="21" t="s">
        <v>290</v>
      </c>
    </row>
    <row r="19" spans="1:5" x14ac:dyDescent="0.2">
      <c r="A19" s="21" t="s">
        <v>313</v>
      </c>
      <c r="B19" s="21" t="s">
        <v>314</v>
      </c>
      <c r="C19" s="25" t="s">
        <v>89</v>
      </c>
      <c r="D19" s="26">
        <v>150</v>
      </c>
      <c r="E19" s="21" t="s">
        <v>248</v>
      </c>
    </row>
    <row r="20" spans="1:5" x14ac:dyDescent="0.2">
      <c r="A20" s="21" t="s">
        <v>315</v>
      </c>
      <c r="B20" s="21" t="s">
        <v>316</v>
      </c>
      <c r="C20" s="25" t="s">
        <v>317</v>
      </c>
      <c r="D20" s="26">
        <v>950</v>
      </c>
      <c r="E20" s="21" t="s">
        <v>248</v>
      </c>
    </row>
    <row r="21" spans="1:5" x14ac:dyDescent="0.2">
      <c r="A21" s="21" t="s">
        <v>318</v>
      </c>
      <c r="B21" s="21" t="s">
        <v>319</v>
      </c>
      <c r="C21" s="25" t="s">
        <v>317</v>
      </c>
      <c r="D21" s="26">
        <v>650</v>
      </c>
      <c r="E21" s="21" t="s">
        <v>248</v>
      </c>
    </row>
    <row r="22" spans="1:5" x14ac:dyDescent="0.2">
      <c r="A22" s="21" t="s">
        <v>320</v>
      </c>
      <c r="B22" s="21" t="s">
        <v>321</v>
      </c>
      <c r="C22" s="25" t="s">
        <v>322</v>
      </c>
      <c r="D22" s="26">
        <v>320</v>
      </c>
      <c r="E22" s="21" t="s">
        <v>323</v>
      </c>
    </row>
    <row r="23" spans="1:5" x14ac:dyDescent="0.2">
      <c r="A23" s="21" t="s">
        <v>324</v>
      </c>
      <c r="B23" s="21" t="s">
        <v>325</v>
      </c>
      <c r="C23" s="25" t="s">
        <v>326</v>
      </c>
      <c r="D23" s="26">
        <v>850</v>
      </c>
      <c r="E23" s="21" t="s">
        <v>327</v>
      </c>
    </row>
    <row r="24" spans="1:5" x14ac:dyDescent="0.2">
      <c r="A24" s="21" t="s">
        <v>328</v>
      </c>
      <c r="B24" s="21" t="s">
        <v>329</v>
      </c>
      <c r="C24" s="25" t="s">
        <v>330</v>
      </c>
      <c r="D24" s="26">
        <v>4500</v>
      </c>
      <c r="E24" s="21" t="s">
        <v>327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9"/>
  <sheetViews>
    <sheetView showGridLines="0" zoomScaleNormal="100" workbookViewId="0"/>
  </sheetViews>
  <sheetFormatPr defaultColWidth="8.7421875" defaultRowHeight="15" x14ac:dyDescent="0.2"/>
  <cols>
    <col min="1" max="1" width="11.97265625" customWidth="1"/>
    <col min="2" max="2" width="39.953125" customWidth="1"/>
    <col min="3" max="4" width="9.953125" customWidth="1"/>
    <col min="5" max="7" width="16.0078125" customWidth="1"/>
  </cols>
  <sheetData>
    <row r="1" spans="1:7" ht="22.5" x14ac:dyDescent="0.25">
      <c r="A1" s="11" t="str">
        <f>'Datos Empresa'!B4</f>
        <v>Instalaciones Electricas y Plomeria [Tu Empresa]</v>
      </c>
      <c r="B1" s="11"/>
      <c r="C1" s="11"/>
      <c r="D1" s="11"/>
      <c r="E1" s="10" t="s">
        <v>331</v>
      </c>
      <c r="F1" s="10"/>
      <c r="G1" s="10"/>
    </row>
    <row r="2" spans="1:7" x14ac:dyDescent="0.2">
      <c r="A2" s="9" t="str">
        <f>'Datos Empresa'!B6&amp;" | "&amp;'Datos Empresa'!B7&amp;" | "&amp;'Datos Empresa'!B8</f>
        <v xml:space="preserve"> | Escobedo, Nuevo Leon | </v>
      </c>
      <c r="B2" s="9"/>
      <c r="C2" s="9"/>
      <c r="D2" s="9"/>
      <c r="E2" s="37" t="s">
        <v>332</v>
      </c>
      <c r="F2" s="8" t="s">
        <v>333</v>
      </c>
      <c r="G2" s="8"/>
    </row>
    <row r="3" spans="1:7" x14ac:dyDescent="0.2">
      <c r="A3" s="9" t="str">
        <f>"RFC: "&amp;'Datos Empresa'!B5</f>
        <v xml:space="preserve">RFC: </v>
      </c>
      <c r="B3" s="9"/>
      <c r="C3" s="9"/>
      <c r="D3" s="9"/>
      <c r="E3" s="37" t="s">
        <v>334</v>
      </c>
      <c r="F3" s="7">
        <f ca="1">TODAY()</f>
        <v>46220</v>
      </c>
      <c r="G3" s="7"/>
    </row>
    <row r="4" spans="1:7" x14ac:dyDescent="0.2">
      <c r="E4" s="37" t="s">
        <v>335</v>
      </c>
      <c r="F4" s="6">
        <f ca="1">F3+'Datos Empresa'!B12</f>
        <v>46235</v>
      </c>
      <c r="G4" s="6"/>
    </row>
    <row r="6" spans="1:7" ht="19.5" customHeight="1" x14ac:dyDescent="0.2">
      <c r="A6" s="5" t="s">
        <v>336</v>
      </c>
      <c r="B6" s="5"/>
      <c r="C6" s="5"/>
      <c r="D6" s="5"/>
      <c r="E6" s="5"/>
      <c r="F6" s="5"/>
      <c r="G6" s="5"/>
    </row>
    <row r="7" spans="1:7" x14ac:dyDescent="0.2">
      <c r="A7" s="38" t="s">
        <v>337</v>
      </c>
      <c r="B7" s="4"/>
      <c r="C7" s="4"/>
      <c r="D7" s="38" t="s">
        <v>338</v>
      </c>
      <c r="E7" s="4"/>
      <c r="F7" s="4"/>
      <c r="G7" s="4"/>
    </row>
    <row r="8" spans="1:7" x14ac:dyDescent="0.2">
      <c r="A8" s="38" t="s">
        <v>339</v>
      </c>
      <c r="B8" s="4"/>
      <c r="C8" s="4"/>
      <c r="D8" s="38" t="s">
        <v>340</v>
      </c>
      <c r="E8" s="4"/>
      <c r="F8" s="4"/>
      <c r="G8" s="4"/>
    </row>
    <row r="9" spans="1:7" x14ac:dyDescent="0.2">
      <c r="A9" s="38" t="s">
        <v>341</v>
      </c>
      <c r="B9" s="4"/>
      <c r="C9" s="4"/>
      <c r="D9" s="38" t="s">
        <v>342</v>
      </c>
      <c r="E9" s="4"/>
      <c r="F9" s="4"/>
      <c r="G9" s="4"/>
    </row>
    <row r="11" spans="1:7" ht="19.5" customHeight="1" x14ac:dyDescent="0.2">
      <c r="A11" s="5" t="s">
        <v>343</v>
      </c>
      <c r="B11" s="5"/>
      <c r="C11" s="5"/>
      <c r="D11" s="5"/>
      <c r="E11" s="5"/>
      <c r="F11" s="5"/>
      <c r="G11" s="5"/>
    </row>
    <row r="12" spans="1:7" ht="24.75" x14ac:dyDescent="0.2">
      <c r="A12" s="24" t="s">
        <v>175</v>
      </c>
      <c r="B12" s="24" t="s">
        <v>282</v>
      </c>
      <c r="C12" s="24" t="s">
        <v>71</v>
      </c>
      <c r="D12" s="24" t="s">
        <v>152</v>
      </c>
      <c r="E12" s="24" t="s">
        <v>344</v>
      </c>
      <c r="F12" s="24" t="s">
        <v>345</v>
      </c>
      <c r="G12" s="24" t="s">
        <v>346</v>
      </c>
    </row>
    <row r="13" spans="1:7" x14ac:dyDescent="0.2">
      <c r="A13" s="25" t="s">
        <v>295</v>
      </c>
      <c r="B13" s="29" t="str">
        <f>IFERROR(INDEX('Catalogo Precios Venta'!$B$5:$B$24,MATCH(A13,'Catalogo Precios Venta'!$A$5:$A$24,0)),"")</f>
        <v>Contacto Duplex Puesto</v>
      </c>
      <c r="C13" s="30" t="str">
        <f>IFERROR(INDEX('Catalogo Precios Venta'!$C$5:$C$24,MATCH(A13,'Catalogo Precios Venta'!$A$5:$A$24,0)),"")</f>
        <v>pza</v>
      </c>
      <c r="D13" s="27">
        <v>8</v>
      </c>
      <c r="E13" s="39">
        <f>IFERROR(INDEX('Catalogo Precios Venta'!$D$5:$D$24,MATCH(A13,'Catalogo Precios Venta'!$A$5:$A$24,0)),"")</f>
        <v>280</v>
      </c>
      <c r="F13" s="26">
        <v>280</v>
      </c>
      <c r="G13" s="40">
        <f>IF(D13="","",D13*F13)</f>
        <v>2240</v>
      </c>
    </row>
    <row r="14" spans="1:7" x14ac:dyDescent="0.2">
      <c r="A14" s="25" t="s">
        <v>301</v>
      </c>
      <c r="B14" s="29" t="str">
        <f>IFERROR(INDEX('Catalogo Precios Venta'!$B$5:$B$24,MATCH(A14,'Catalogo Precios Venta'!$A$5:$A$24,0)),"")</f>
        <v>Luminaria LED Empotrable 6" Instalada</v>
      </c>
      <c r="C14" s="30" t="str">
        <f>IFERROR(INDEX('Catalogo Precios Venta'!$C$5:$C$24,MATCH(A14,'Catalogo Precios Venta'!$A$5:$A$24,0)),"")</f>
        <v>pza</v>
      </c>
      <c r="D14" s="27">
        <v>12</v>
      </c>
      <c r="E14" s="39">
        <f>IFERROR(INDEX('Catalogo Precios Venta'!$D$5:$D$24,MATCH(A14,'Catalogo Precios Venta'!$A$5:$A$24,0)),"")</f>
        <v>480</v>
      </c>
      <c r="F14" s="26">
        <v>480</v>
      </c>
      <c r="G14" s="40">
        <f>IF(D14="","",D14*F14)</f>
        <v>5760</v>
      </c>
    </row>
    <row r="15" spans="1:7" x14ac:dyDescent="0.2">
      <c r="A15" s="25" t="s">
        <v>284</v>
      </c>
      <c r="B15" s="29" t="str">
        <f>IFERROR(INDEX('Catalogo Precios Venta'!$B$5:$B$24,MATCH(A15,'Catalogo Precios Venta'!$A$5:$A$24,0)),"")</f>
        <v>Tuberia PVC 1/2" Instalada</v>
      </c>
      <c r="C15" s="30" t="str">
        <f>IFERROR(INDEX('Catalogo Precios Venta'!$C$5:$C$24,MATCH(A15,'Catalogo Precios Venta'!$A$5:$A$24,0)),"")</f>
        <v>m</v>
      </c>
      <c r="D15" s="27">
        <v>45</v>
      </c>
      <c r="E15" s="39">
        <f>IFERROR(INDEX('Catalogo Precios Venta'!$D$5:$D$24,MATCH(A15,'Catalogo Precios Venta'!$A$5:$A$24,0)),"")</f>
        <v>55</v>
      </c>
      <c r="F15" s="26">
        <v>55</v>
      </c>
      <c r="G15" s="40">
        <f>IF(D15="","",D15*F15)</f>
        <v>2475</v>
      </c>
    </row>
    <row r="16" spans="1:7" x14ac:dyDescent="0.2">
      <c r="A16" s="25" t="s">
        <v>315</v>
      </c>
      <c r="B16" s="29" t="str">
        <f>IFERROR(INDEX('Catalogo Precios Venta'!$B$5:$B$24,MATCH(A16,'Catalogo Precios Venta'!$A$5:$A$24,0)),"")</f>
        <v>Salida Sanitaria Completa (WC)</v>
      </c>
      <c r="C16" s="30" t="str">
        <f>IFERROR(INDEX('Catalogo Precios Venta'!$C$5:$C$24,MATCH(A16,'Catalogo Precios Venta'!$A$5:$A$24,0)),"")</f>
        <v>salida</v>
      </c>
      <c r="D16" s="27">
        <v>3</v>
      </c>
      <c r="E16" s="39">
        <f>IFERROR(INDEX('Catalogo Precios Venta'!$D$5:$D$24,MATCH(A16,'Catalogo Precios Venta'!$A$5:$A$24,0)),"")</f>
        <v>950</v>
      </c>
      <c r="F16" s="26">
        <v>950</v>
      </c>
      <c r="G16" s="40">
        <f>IF(D16="","",D16*F16)</f>
        <v>2850</v>
      </c>
    </row>
    <row r="17" spans="1:7" x14ac:dyDescent="0.2">
      <c r="A17" s="25"/>
      <c r="B17" s="29" t="str">
        <f>IFERROR(INDEX('Catalogo Precios Venta'!$B$5:$B$24,MATCH(A17,'Catalogo Precios Venta'!$A$5:$A$24,0)),"")</f>
        <v/>
      </c>
      <c r="C17" s="30" t="str">
        <f>IFERROR(INDEX('Catalogo Precios Venta'!$C$5:$C$24,MATCH(A17,'Catalogo Precios Venta'!$A$5:$A$24,0)),"")</f>
        <v/>
      </c>
      <c r="D17" s="27"/>
      <c r="E17" s="39" t="str">
        <f>IFERROR(INDEX('Catalogo Precios Venta'!$D$5:$D$24,MATCH(A17,'Catalogo Precios Venta'!$A$5:$A$24,0)),"")</f>
        <v/>
      </c>
      <c r="F17" s="26"/>
      <c r="G17" s="40" t="str">
        <f>IF(D17="","",D17*F17)</f>
        <v/>
      </c>
    </row>
    <row r="18" spans="1:7" x14ac:dyDescent="0.2">
      <c r="A18" s="25"/>
      <c r="B18" s="29" t="str">
        <f>IFERROR(INDEX('Catalogo Precios Venta'!$B$5:$B$24,MATCH(A18,'Catalogo Precios Venta'!$A$5:$A$24,0)),"")</f>
        <v/>
      </c>
      <c r="C18" s="30" t="str">
        <f>IFERROR(INDEX('Catalogo Precios Venta'!$C$5:$C$24,MATCH(A18,'Catalogo Precios Venta'!$A$5:$A$24,0)),"")</f>
        <v/>
      </c>
      <c r="D18" s="27"/>
      <c r="E18" s="39" t="str">
        <f>IFERROR(INDEX('Catalogo Precios Venta'!$D$5:$D$24,MATCH(A18,'Catalogo Precios Venta'!$A$5:$A$24,0)),"")</f>
        <v/>
      </c>
      <c r="F18" s="26"/>
      <c r="G18" s="40" t="str">
        <f>IF(D18="","",D18*F18)</f>
        <v/>
      </c>
    </row>
    <row r="19" spans="1:7" x14ac:dyDescent="0.2">
      <c r="A19" s="25"/>
      <c r="B19" s="29" t="str">
        <f>IFERROR(INDEX('Catalogo Precios Venta'!$B$5:$B$24,MATCH(A19,'Catalogo Precios Venta'!$A$5:$A$24,0)),"")</f>
        <v/>
      </c>
      <c r="C19" s="30" t="str">
        <f>IFERROR(INDEX('Catalogo Precios Venta'!$C$5:$C$24,MATCH(A19,'Catalogo Precios Venta'!$A$5:$A$24,0)),"")</f>
        <v/>
      </c>
      <c r="D19" s="27"/>
      <c r="E19" s="39" t="str">
        <f>IFERROR(INDEX('Catalogo Precios Venta'!$D$5:$D$24,MATCH(A19,'Catalogo Precios Venta'!$A$5:$A$24,0)),"")</f>
        <v/>
      </c>
      <c r="F19" s="26"/>
      <c r="G19" s="40" t="str">
        <f>IF(D19="","",D19*F19)</f>
        <v/>
      </c>
    </row>
    <row r="20" spans="1:7" x14ac:dyDescent="0.2">
      <c r="A20" s="25"/>
      <c r="B20" s="29" t="str">
        <f>IFERROR(INDEX('Catalogo Precios Venta'!$B$5:$B$24,MATCH(A20,'Catalogo Precios Venta'!$A$5:$A$24,0)),"")</f>
        <v/>
      </c>
      <c r="C20" s="30" t="str">
        <f>IFERROR(INDEX('Catalogo Precios Venta'!$C$5:$C$24,MATCH(A20,'Catalogo Precios Venta'!$A$5:$A$24,0)),"")</f>
        <v/>
      </c>
      <c r="D20" s="27"/>
      <c r="E20" s="39" t="str">
        <f>IFERROR(INDEX('Catalogo Precios Venta'!$D$5:$D$24,MATCH(A20,'Catalogo Precios Venta'!$A$5:$A$24,0)),"")</f>
        <v/>
      </c>
      <c r="F20" s="26"/>
      <c r="G20" s="40" t="str">
        <f>IF(D20="","",D20*F20)</f>
        <v/>
      </c>
    </row>
    <row r="21" spans="1:7" x14ac:dyDescent="0.2">
      <c r="A21" s="25"/>
      <c r="B21" s="29" t="str">
        <f>IFERROR(INDEX('Catalogo Precios Venta'!$B$5:$B$24,MATCH(A21,'Catalogo Precios Venta'!$A$5:$A$24,0)),"")</f>
        <v/>
      </c>
      <c r="C21" s="30" t="str">
        <f>IFERROR(INDEX('Catalogo Precios Venta'!$C$5:$C$24,MATCH(A21,'Catalogo Precios Venta'!$A$5:$A$24,0)),"")</f>
        <v/>
      </c>
      <c r="D21" s="27"/>
      <c r="E21" s="39" t="str">
        <f>IFERROR(INDEX('Catalogo Precios Venta'!$D$5:$D$24,MATCH(A21,'Catalogo Precios Venta'!$A$5:$A$24,0)),"")</f>
        <v/>
      </c>
      <c r="F21" s="26"/>
      <c r="G21" s="40" t="str">
        <f>IF(D21="","",D21*F21)</f>
        <v/>
      </c>
    </row>
    <row r="22" spans="1:7" x14ac:dyDescent="0.2">
      <c r="A22" s="25"/>
      <c r="B22" s="29" t="str">
        <f>IFERROR(INDEX('Catalogo Precios Venta'!$B$5:$B$24,MATCH(A22,'Catalogo Precios Venta'!$A$5:$A$24,0)),"")</f>
        <v/>
      </c>
      <c r="C22" s="30" t="str">
        <f>IFERROR(INDEX('Catalogo Precios Venta'!$C$5:$C$24,MATCH(A22,'Catalogo Precios Venta'!$A$5:$A$24,0)),"")</f>
        <v/>
      </c>
      <c r="D22" s="27"/>
      <c r="E22" s="39" t="str">
        <f>IFERROR(INDEX('Catalogo Precios Venta'!$D$5:$D$24,MATCH(A22,'Catalogo Precios Venta'!$A$5:$A$24,0)),"")</f>
        <v/>
      </c>
      <c r="F22" s="26"/>
      <c r="G22" s="40" t="str">
        <f>IF(D22="","",D22*F22)</f>
        <v/>
      </c>
    </row>
    <row r="23" spans="1:7" x14ac:dyDescent="0.2">
      <c r="A23" s="25"/>
      <c r="B23" s="29" t="str">
        <f>IFERROR(INDEX('Catalogo Precios Venta'!$B$5:$B$24,MATCH(A23,'Catalogo Precios Venta'!$A$5:$A$24,0)),"")</f>
        <v/>
      </c>
      <c r="C23" s="30" t="str">
        <f>IFERROR(INDEX('Catalogo Precios Venta'!$C$5:$C$24,MATCH(A23,'Catalogo Precios Venta'!$A$5:$A$24,0)),"")</f>
        <v/>
      </c>
      <c r="D23" s="27"/>
      <c r="E23" s="39" t="str">
        <f>IFERROR(INDEX('Catalogo Precios Venta'!$D$5:$D$24,MATCH(A23,'Catalogo Precios Venta'!$A$5:$A$24,0)),"")</f>
        <v/>
      </c>
      <c r="F23" s="26"/>
      <c r="G23" s="40" t="str">
        <f>IF(D23="","",D23*F23)</f>
        <v/>
      </c>
    </row>
    <row r="24" spans="1:7" x14ac:dyDescent="0.2">
      <c r="A24" s="25"/>
      <c r="B24" s="29" t="str">
        <f>IFERROR(INDEX('Catalogo Precios Venta'!$B$5:$B$24,MATCH(A24,'Catalogo Precios Venta'!$A$5:$A$24,0)),"")</f>
        <v/>
      </c>
      <c r="C24" s="30" t="str">
        <f>IFERROR(INDEX('Catalogo Precios Venta'!$C$5:$C$24,MATCH(A24,'Catalogo Precios Venta'!$A$5:$A$24,0)),"")</f>
        <v/>
      </c>
      <c r="D24" s="27"/>
      <c r="E24" s="39" t="str">
        <f>IFERROR(INDEX('Catalogo Precios Venta'!$D$5:$D$24,MATCH(A24,'Catalogo Precios Venta'!$A$5:$A$24,0)),"")</f>
        <v/>
      </c>
      <c r="F24" s="26"/>
      <c r="G24" s="40" t="str">
        <f>IF(D24="","",D24*F24)</f>
        <v/>
      </c>
    </row>
    <row r="25" spans="1:7" x14ac:dyDescent="0.2">
      <c r="A25" s="25"/>
      <c r="B25" s="29" t="str">
        <f>IFERROR(INDEX('Catalogo Precios Venta'!$B$5:$B$24,MATCH(A25,'Catalogo Precios Venta'!$A$5:$A$24,0)),"")</f>
        <v/>
      </c>
      <c r="C25" s="30" t="str">
        <f>IFERROR(INDEX('Catalogo Precios Venta'!$C$5:$C$24,MATCH(A25,'Catalogo Precios Venta'!$A$5:$A$24,0)),"")</f>
        <v/>
      </c>
      <c r="D25" s="27"/>
      <c r="E25" s="39" t="str">
        <f>IFERROR(INDEX('Catalogo Precios Venta'!$D$5:$D$24,MATCH(A25,'Catalogo Precios Venta'!$A$5:$A$24,0)),"")</f>
        <v/>
      </c>
      <c r="F25" s="26"/>
      <c r="G25" s="40" t="str">
        <f>IF(D25="","",D25*F25)</f>
        <v/>
      </c>
    </row>
    <row r="26" spans="1:7" x14ac:dyDescent="0.2">
      <c r="A26" s="25"/>
      <c r="B26" s="29" t="str">
        <f>IFERROR(INDEX('Catalogo Precios Venta'!$B$5:$B$24,MATCH(A26,'Catalogo Precios Venta'!$A$5:$A$24,0)),"")</f>
        <v/>
      </c>
      <c r="C26" s="30" t="str">
        <f>IFERROR(INDEX('Catalogo Precios Venta'!$C$5:$C$24,MATCH(A26,'Catalogo Precios Venta'!$A$5:$A$24,0)),"")</f>
        <v/>
      </c>
      <c r="D26" s="27"/>
      <c r="E26" s="39" t="str">
        <f>IFERROR(INDEX('Catalogo Precios Venta'!$D$5:$D$24,MATCH(A26,'Catalogo Precios Venta'!$A$5:$A$24,0)),"")</f>
        <v/>
      </c>
      <c r="F26" s="26"/>
      <c r="G26" s="40" t="str">
        <f>IF(D26="","",D26*F26)</f>
        <v/>
      </c>
    </row>
    <row r="27" spans="1:7" x14ac:dyDescent="0.2">
      <c r="A27" s="25"/>
      <c r="B27" s="29" t="str">
        <f>IFERROR(INDEX('Catalogo Precios Venta'!$B$5:$B$24,MATCH(A27,'Catalogo Precios Venta'!$A$5:$A$24,0)),"")</f>
        <v/>
      </c>
      <c r="C27" s="30" t="str">
        <f>IFERROR(INDEX('Catalogo Precios Venta'!$C$5:$C$24,MATCH(A27,'Catalogo Precios Venta'!$A$5:$A$24,0)),"")</f>
        <v/>
      </c>
      <c r="D27" s="27"/>
      <c r="E27" s="39" t="str">
        <f>IFERROR(INDEX('Catalogo Precios Venta'!$D$5:$D$24,MATCH(A27,'Catalogo Precios Venta'!$A$5:$A$24,0)),"")</f>
        <v/>
      </c>
      <c r="F27" s="26"/>
      <c r="G27" s="40" t="str">
        <f>IF(D27="","",D27*F27)</f>
        <v/>
      </c>
    </row>
    <row r="28" spans="1:7" x14ac:dyDescent="0.2">
      <c r="A28" s="25"/>
      <c r="B28" s="29" t="str">
        <f>IFERROR(INDEX('Catalogo Precios Venta'!$B$5:$B$24,MATCH(A28,'Catalogo Precios Venta'!$A$5:$A$24,0)),"")</f>
        <v/>
      </c>
      <c r="C28" s="30" t="str">
        <f>IFERROR(INDEX('Catalogo Precios Venta'!$C$5:$C$24,MATCH(A28,'Catalogo Precios Venta'!$A$5:$A$24,0)),"")</f>
        <v/>
      </c>
      <c r="D28" s="27"/>
      <c r="E28" s="39" t="str">
        <f>IFERROR(INDEX('Catalogo Precios Venta'!$D$5:$D$24,MATCH(A28,'Catalogo Precios Venta'!$A$5:$A$24,0)),"")</f>
        <v/>
      </c>
      <c r="F28" s="26"/>
      <c r="G28" s="40" t="str">
        <f>IF(D28="","",D28*F28)</f>
        <v/>
      </c>
    </row>
    <row r="29" spans="1:7" x14ac:dyDescent="0.2">
      <c r="A29" s="25"/>
      <c r="B29" s="29" t="str">
        <f>IFERROR(INDEX('Catalogo Precios Venta'!$B$5:$B$24,MATCH(A29,'Catalogo Precios Venta'!$A$5:$A$24,0)),"")</f>
        <v/>
      </c>
      <c r="C29" s="30" t="str">
        <f>IFERROR(INDEX('Catalogo Precios Venta'!$C$5:$C$24,MATCH(A29,'Catalogo Precios Venta'!$A$5:$A$24,0)),"")</f>
        <v/>
      </c>
      <c r="D29" s="27"/>
      <c r="E29" s="39" t="str">
        <f>IFERROR(INDEX('Catalogo Precios Venta'!$D$5:$D$24,MATCH(A29,'Catalogo Precios Venta'!$A$5:$A$24,0)),"")</f>
        <v/>
      </c>
      <c r="F29" s="26"/>
      <c r="G29" s="40" t="str">
        <f>IF(D29="","",D29*F29)</f>
        <v/>
      </c>
    </row>
    <row r="30" spans="1:7" x14ac:dyDescent="0.2">
      <c r="A30" s="25"/>
      <c r="B30" s="29" t="str">
        <f>IFERROR(INDEX('Catalogo Precios Venta'!$B$5:$B$24,MATCH(A30,'Catalogo Precios Venta'!$A$5:$A$24,0)),"")</f>
        <v/>
      </c>
      <c r="C30" s="30" t="str">
        <f>IFERROR(INDEX('Catalogo Precios Venta'!$C$5:$C$24,MATCH(A30,'Catalogo Precios Venta'!$A$5:$A$24,0)),"")</f>
        <v/>
      </c>
      <c r="D30" s="27"/>
      <c r="E30" s="39" t="str">
        <f>IFERROR(INDEX('Catalogo Precios Venta'!$D$5:$D$24,MATCH(A30,'Catalogo Precios Venta'!$A$5:$A$24,0)),"")</f>
        <v/>
      </c>
      <c r="F30" s="26"/>
      <c r="G30" s="40" t="str">
        <f>IF(D30="","",D30*F30)</f>
        <v/>
      </c>
    </row>
    <row r="31" spans="1:7" x14ac:dyDescent="0.2">
      <c r="A31" s="25"/>
      <c r="B31" s="29" t="str">
        <f>IFERROR(INDEX('Catalogo Precios Venta'!$B$5:$B$24,MATCH(A31,'Catalogo Precios Venta'!$A$5:$A$24,0)),"")</f>
        <v/>
      </c>
      <c r="C31" s="30" t="str">
        <f>IFERROR(INDEX('Catalogo Precios Venta'!$C$5:$C$24,MATCH(A31,'Catalogo Precios Venta'!$A$5:$A$24,0)),"")</f>
        <v/>
      </c>
      <c r="D31" s="27"/>
      <c r="E31" s="39" t="str">
        <f>IFERROR(INDEX('Catalogo Precios Venta'!$D$5:$D$24,MATCH(A31,'Catalogo Precios Venta'!$A$5:$A$24,0)),"")</f>
        <v/>
      </c>
      <c r="F31" s="26"/>
      <c r="G31" s="40" t="str">
        <f>IF(D31="","",D31*F31)</f>
        <v/>
      </c>
    </row>
    <row r="32" spans="1:7" x14ac:dyDescent="0.2">
      <c r="A32" s="25"/>
      <c r="B32" s="29" t="str">
        <f>IFERROR(INDEX('Catalogo Precios Venta'!$B$5:$B$24,MATCH(A32,'Catalogo Precios Venta'!$A$5:$A$24,0)),"")</f>
        <v/>
      </c>
      <c r="C32" s="30" t="str">
        <f>IFERROR(INDEX('Catalogo Precios Venta'!$C$5:$C$24,MATCH(A32,'Catalogo Precios Venta'!$A$5:$A$24,0)),"")</f>
        <v/>
      </c>
      <c r="D32" s="27"/>
      <c r="E32" s="39" t="str">
        <f>IFERROR(INDEX('Catalogo Precios Venta'!$D$5:$D$24,MATCH(A32,'Catalogo Precios Venta'!$A$5:$A$24,0)),"")</f>
        <v/>
      </c>
      <c r="F32" s="26"/>
      <c r="G32" s="40" t="str">
        <f>IF(D32="","",D32*F32)</f>
        <v/>
      </c>
    </row>
    <row r="33" spans="1:7" x14ac:dyDescent="0.2">
      <c r="A33" s="25"/>
      <c r="B33" s="29" t="str">
        <f>IFERROR(INDEX('Catalogo Precios Venta'!$B$5:$B$24,MATCH(A33,'Catalogo Precios Venta'!$A$5:$A$24,0)),"")</f>
        <v/>
      </c>
      <c r="C33" s="30" t="str">
        <f>IFERROR(INDEX('Catalogo Precios Venta'!$C$5:$C$24,MATCH(A33,'Catalogo Precios Venta'!$A$5:$A$24,0)),"")</f>
        <v/>
      </c>
      <c r="D33" s="27"/>
      <c r="E33" s="39" t="str">
        <f>IFERROR(INDEX('Catalogo Precios Venta'!$D$5:$D$24,MATCH(A33,'Catalogo Precios Venta'!$A$5:$A$24,0)),"")</f>
        <v/>
      </c>
      <c r="F33" s="26"/>
      <c r="G33" s="40" t="str">
        <f>IF(D33="","",D33*F33)</f>
        <v/>
      </c>
    </row>
    <row r="34" spans="1:7" x14ac:dyDescent="0.2">
      <c r="A34" s="25"/>
      <c r="B34" s="29" t="str">
        <f>IFERROR(INDEX('Catalogo Precios Venta'!$B$5:$B$24,MATCH(A34,'Catalogo Precios Venta'!$A$5:$A$24,0)),"")</f>
        <v/>
      </c>
      <c r="C34" s="30" t="str">
        <f>IFERROR(INDEX('Catalogo Precios Venta'!$C$5:$C$24,MATCH(A34,'Catalogo Precios Venta'!$A$5:$A$24,0)),"")</f>
        <v/>
      </c>
      <c r="D34" s="27"/>
      <c r="E34" s="39" t="str">
        <f>IFERROR(INDEX('Catalogo Precios Venta'!$D$5:$D$24,MATCH(A34,'Catalogo Precios Venta'!$A$5:$A$24,0)),"")</f>
        <v/>
      </c>
      <c r="F34" s="26"/>
      <c r="G34" s="40" t="str">
        <f>IF(D34="","",D34*F34)</f>
        <v/>
      </c>
    </row>
    <row r="35" spans="1:7" x14ac:dyDescent="0.2">
      <c r="A35" s="25"/>
      <c r="B35" s="29" t="str">
        <f>IFERROR(INDEX('Catalogo Precios Venta'!$B$5:$B$24,MATCH(A35,'Catalogo Precios Venta'!$A$5:$A$24,0)),"")</f>
        <v/>
      </c>
      <c r="C35" s="30" t="str">
        <f>IFERROR(INDEX('Catalogo Precios Venta'!$C$5:$C$24,MATCH(A35,'Catalogo Precios Venta'!$A$5:$A$24,0)),"")</f>
        <v/>
      </c>
      <c r="D35" s="27"/>
      <c r="E35" s="39" t="str">
        <f>IFERROR(INDEX('Catalogo Precios Venta'!$D$5:$D$24,MATCH(A35,'Catalogo Precios Venta'!$A$5:$A$24,0)),"")</f>
        <v/>
      </c>
      <c r="F35" s="26"/>
      <c r="G35" s="40" t="str">
        <f>IF(D35="","",D35*F35)</f>
        <v/>
      </c>
    </row>
    <row r="36" spans="1:7" x14ac:dyDescent="0.2">
      <c r="A36" s="25"/>
      <c r="B36" s="29" t="str">
        <f>IFERROR(INDEX('Catalogo Precios Venta'!$B$5:$B$24,MATCH(A36,'Catalogo Precios Venta'!$A$5:$A$24,0)),"")</f>
        <v/>
      </c>
      <c r="C36" s="30" t="str">
        <f>IFERROR(INDEX('Catalogo Precios Venta'!$C$5:$C$24,MATCH(A36,'Catalogo Precios Venta'!$A$5:$A$24,0)),"")</f>
        <v/>
      </c>
      <c r="D36" s="27"/>
      <c r="E36" s="39" t="str">
        <f>IFERROR(INDEX('Catalogo Precios Venta'!$D$5:$D$24,MATCH(A36,'Catalogo Precios Venta'!$A$5:$A$24,0)),"")</f>
        <v/>
      </c>
      <c r="F36" s="26"/>
      <c r="G36" s="40" t="str">
        <f>IF(D36="","",D36*F36)</f>
        <v/>
      </c>
    </row>
    <row r="37" spans="1:7" x14ac:dyDescent="0.2">
      <c r="A37" s="25"/>
      <c r="B37" s="29" t="str">
        <f>IFERROR(INDEX('Catalogo Precios Venta'!$B$5:$B$24,MATCH(A37,'Catalogo Precios Venta'!$A$5:$A$24,0)),"")</f>
        <v/>
      </c>
      <c r="C37" s="30" t="str">
        <f>IFERROR(INDEX('Catalogo Precios Venta'!$C$5:$C$24,MATCH(A37,'Catalogo Precios Venta'!$A$5:$A$24,0)),"")</f>
        <v/>
      </c>
      <c r="D37" s="27"/>
      <c r="E37" s="39" t="str">
        <f>IFERROR(INDEX('Catalogo Precios Venta'!$D$5:$D$24,MATCH(A37,'Catalogo Precios Venta'!$A$5:$A$24,0)),"")</f>
        <v/>
      </c>
      <c r="F37" s="26"/>
      <c r="G37" s="40" t="str">
        <f>IF(D37="","",D37*F37)</f>
        <v/>
      </c>
    </row>
    <row r="39" spans="1:7" x14ac:dyDescent="0.2">
      <c r="A39" s="3" t="s">
        <v>347</v>
      </c>
      <c r="B39" s="3"/>
      <c r="C39" s="3"/>
      <c r="D39" s="3"/>
      <c r="E39" s="3"/>
      <c r="F39" s="41" t="s">
        <v>348</v>
      </c>
      <c r="G39" s="40">
        <f>SUM(G13:G37)</f>
        <v>13325</v>
      </c>
    </row>
    <row r="40" spans="1:7" x14ac:dyDescent="0.2">
      <c r="F40" s="41" t="s">
        <v>349</v>
      </c>
      <c r="G40" s="39">
        <f>G39*'Datos Empresa'!B11</f>
        <v>2132</v>
      </c>
    </row>
    <row r="41" spans="1:7" ht="17.25" x14ac:dyDescent="0.2">
      <c r="F41" s="42" t="s">
        <v>350</v>
      </c>
      <c r="G41" s="43">
        <f>G39+G40</f>
        <v>15457</v>
      </c>
    </row>
    <row r="43" spans="1:7" ht="19.5" customHeight="1" x14ac:dyDescent="0.2">
      <c r="A43" s="5" t="s">
        <v>351</v>
      </c>
      <c r="B43" s="5"/>
      <c r="C43" s="5"/>
      <c r="D43" s="5"/>
      <c r="E43" s="5"/>
      <c r="F43" s="5"/>
      <c r="G43" s="5"/>
    </row>
    <row r="44" spans="1:7" x14ac:dyDescent="0.2">
      <c r="A44" s="38" t="s">
        <v>352</v>
      </c>
      <c r="B44" s="2" t="str">
        <f>'Datos Empresa'!B13</f>
        <v>50% anticipo, 50% contra entrega</v>
      </c>
      <c r="C44" s="2"/>
      <c r="D44" s="2"/>
      <c r="E44" s="2"/>
      <c r="F44" s="2"/>
      <c r="G44" s="2"/>
    </row>
    <row r="45" spans="1:7" x14ac:dyDescent="0.2">
      <c r="A45" s="38" t="s">
        <v>353</v>
      </c>
      <c r="B45" s="2" t="str">
        <f>'Datos Empresa'!B14</f>
        <v>A convenir segun alcance</v>
      </c>
      <c r="C45" s="2"/>
      <c r="D45" s="2"/>
      <c r="E45" s="2"/>
      <c r="F45" s="2"/>
      <c r="G45" s="2"/>
    </row>
    <row r="46" spans="1:7" x14ac:dyDescent="0.2">
      <c r="A46" s="38" t="s">
        <v>354</v>
      </c>
      <c r="B46" s="2" t="str">
        <f>'Datos Empresa'!B15</f>
        <v>90 dias en mano de obra</v>
      </c>
      <c r="C46" s="2"/>
      <c r="D46" s="2"/>
      <c r="E46" s="2"/>
      <c r="F46" s="2"/>
      <c r="G46" s="2"/>
    </row>
    <row r="47" spans="1:7" x14ac:dyDescent="0.2">
      <c r="A47" s="38" t="s">
        <v>355</v>
      </c>
      <c r="B47" s="2" t="str">
        <f ca="1">(F4-F3)&amp;" dias (hasta "&amp;TEXT(F4,"yyyy-mm-dd")&amp;")"</f>
        <v>15 dias (hasta yyyy-08-01)</v>
      </c>
      <c r="C47" s="2"/>
      <c r="D47" s="2"/>
      <c r="E47" s="2"/>
      <c r="F47" s="2"/>
      <c r="G47" s="2"/>
    </row>
    <row r="49" spans="1:7" x14ac:dyDescent="0.2">
      <c r="A49" s="1" t="s">
        <v>356</v>
      </c>
      <c r="B49" s="1"/>
      <c r="C49" s="1"/>
      <c r="D49" s="1"/>
      <c r="E49" s="1"/>
      <c r="F49" s="1"/>
      <c r="G49" s="1"/>
    </row>
  </sheetData>
  <mergeCells count="22">
    <mergeCell ref="B44:G44"/>
    <mergeCell ref="B45:G45"/>
    <mergeCell ref="B46:G46"/>
    <mergeCell ref="B47:G47"/>
    <mergeCell ref="A49:G49"/>
    <mergeCell ref="B9:C9"/>
    <mergeCell ref="E9:G9"/>
    <mergeCell ref="A11:G11"/>
    <mergeCell ref="A39:E39"/>
    <mergeCell ref="A43:G43"/>
    <mergeCell ref="F4:G4"/>
    <mergeCell ref="A6:G6"/>
    <mergeCell ref="B7:C7"/>
    <mergeCell ref="E7:G7"/>
    <mergeCell ref="B8:C8"/>
    <mergeCell ref="E8:G8"/>
    <mergeCell ref="A1:D1"/>
    <mergeCell ref="E1:G1"/>
    <mergeCell ref="A2:D2"/>
    <mergeCell ref="F2:G2"/>
    <mergeCell ref="A3:D3"/>
    <mergeCell ref="F3:G3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B00-000000000000}">
          <x14:formula1>
            <xm:f>'Catalogo Precios Venta'!$A$5:$A$24</xm:f>
          </x14:formula1>
          <x14:formula2>
            <xm:f>0</xm:f>
          </x14:formula2>
          <xm:sqref>A13:A37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16.0078125" customWidth="1"/>
    <col min="2" max="2" width="11.97265625" customWidth="1"/>
    <col min="3" max="3" width="27.98046875" customWidth="1"/>
    <col min="4" max="4" width="25.9609375" customWidth="1"/>
    <col min="5" max="6" width="16.0078125" customWidth="1"/>
    <col min="7" max="7" width="13.98828125" customWidth="1"/>
    <col min="8" max="8" width="25.9609375" customWidth="1"/>
  </cols>
  <sheetData>
    <row r="1" spans="1:8" ht="21.75" customHeight="1" x14ac:dyDescent="0.2">
      <c r="A1" s="14" t="s">
        <v>357</v>
      </c>
      <c r="B1" s="14"/>
      <c r="C1" s="14"/>
      <c r="D1" s="14"/>
      <c r="E1" s="14"/>
      <c r="F1" s="14"/>
      <c r="G1" s="14"/>
      <c r="H1" s="14"/>
    </row>
    <row r="2" spans="1:8" ht="15.75" customHeight="1" x14ac:dyDescent="0.2">
      <c r="A2" s="13" t="s">
        <v>358</v>
      </c>
      <c r="B2" s="13"/>
      <c r="C2" s="13"/>
      <c r="D2" s="13"/>
      <c r="E2" s="13"/>
      <c r="F2" s="13"/>
      <c r="G2" s="13"/>
      <c r="H2" s="13"/>
    </row>
    <row r="4" spans="1:8" x14ac:dyDescent="0.2">
      <c r="A4" s="24" t="s">
        <v>359</v>
      </c>
      <c r="B4" s="24" t="s">
        <v>148</v>
      </c>
      <c r="C4" s="24" t="s">
        <v>125</v>
      </c>
      <c r="D4" s="24" t="s">
        <v>360</v>
      </c>
      <c r="E4" s="24" t="s">
        <v>361</v>
      </c>
      <c r="F4" s="24" t="s">
        <v>362</v>
      </c>
      <c r="G4" s="24" t="s">
        <v>127</v>
      </c>
      <c r="H4" s="24" t="s">
        <v>153</v>
      </c>
    </row>
    <row r="5" spans="1:8" x14ac:dyDescent="0.2">
      <c r="A5" s="25" t="s">
        <v>333</v>
      </c>
      <c r="B5" s="28" t="s">
        <v>260</v>
      </c>
      <c r="C5" s="21" t="s">
        <v>131</v>
      </c>
      <c r="D5" s="21" t="s">
        <v>130</v>
      </c>
      <c r="E5" s="26">
        <v>12500</v>
      </c>
      <c r="F5" s="26">
        <v>14500</v>
      </c>
      <c r="G5" s="25" t="s">
        <v>363</v>
      </c>
      <c r="H5" s="21" t="s">
        <v>364</v>
      </c>
    </row>
    <row r="6" spans="1:8" x14ac:dyDescent="0.2">
      <c r="A6" s="25" t="s">
        <v>365</v>
      </c>
      <c r="B6" s="28" t="s">
        <v>162</v>
      </c>
      <c r="C6" s="21" t="s">
        <v>137</v>
      </c>
      <c r="D6" s="21" t="s">
        <v>136</v>
      </c>
      <c r="E6" s="26">
        <v>38000</v>
      </c>
      <c r="F6" s="26">
        <v>44080</v>
      </c>
      <c r="G6" s="25" t="s">
        <v>366</v>
      </c>
      <c r="H6" s="21" t="s">
        <v>367</v>
      </c>
    </row>
    <row r="7" spans="1:8" x14ac:dyDescent="0.2">
      <c r="A7" s="25"/>
      <c r="B7" s="28"/>
      <c r="C7" s="21"/>
      <c r="D7" s="21"/>
      <c r="E7" s="26"/>
      <c r="F7" s="26"/>
      <c r="G7" s="25"/>
      <c r="H7" s="21"/>
    </row>
    <row r="8" spans="1:8" x14ac:dyDescent="0.2">
      <c r="A8" s="25"/>
      <c r="B8" s="28"/>
      <c r="C8" s="21"/>
      <c r="D8" s="21"/>
      <c r="E8" s="26"/>
      <c r="F8" s="26"/>
      <c r="G8" s="25"/>
      <c r="H8" s="21"/>
    </row>
    <row r="9" spans="1:8" x14ac:dyDescent="0.2">
      <c r="A9" s="25"/>
      <c r="B9" s="28"/>
      <c r="C9" s="21"/>
      <c r="D9" s="21"/>
      <c r="E9" s="26"/>
      <c r="F9" s="26"/>
      <c r="G9" s="25"/>
      <c r="H9" s="21"/>
    </row>
    <row r="10" spans="1:8" x14ac:dyDescent="0.2">
      <c r="A10" s="25"/>
      <c r="B10" s="28"/>
      <c r="C10" s="21"/>
      <c r="D10" s="21"/>
      <c r="E10" s="26"/>
      <c r="F10" s="26"/>
      <c r="G10" s="25"/>
      <c r="H10" s="21"/>
    </row>
    <row r="11" spans="1:8" x14ac:dyDescent="0.2">
      <c r="A11" s="25"/>
      <c r="B11" s="28"/>
      <c r="C11" s="21"/>
      <c r="D11" s="21"/>
      <c r="E11" s="26"/>
      <c r="F11" s="26"/>
      <c r="G11" s="25"/>
      <c r="H11" s="21"/>
    </row>
    <row r="12" spans="1:8" x14ac:dyDescent="0.2">
      <c r="A12" s="25"/>
      <c r="B12" s="28"/>
      <c r="C12" s="21"/>
      <c r="D12" s="21"/>
      <c r="E12" s="26"/>
      <c r="F12" s="26"/>
      <c r="G12" s="25"/>
      <c r="H12" s="21"/>
    </row>
    <row r="13" spans="1:8" x14ac:dyDescent="0.2">
      <c r="A13" s="25"/>
      <c r="B13" s="28"/>
      <c r="C13" s="21"/>
      <c r="D13" s="21"/>
      <c r="E13" s="26"/>
      <c r="F13" s="26"/>
      <c r="G13" s="25"/>
      <c r="H13" s="21"/>
    </row>
    <row r="14" spans="1:8" x14ac:dyDescent="0.2">
      <c r="A14" s="25"/>
      <c r="B14" s="28"/>
      <c r="C14" s="21"/>
      <c r="D14" s="21"/>
      <c r="E14" s="26"/>
      <c r="F14" s="26"/>
      <c r="G14" s="25"/>
      <c r="H14" s="21"/>
    </row>
    <row r="15" spans="1:8" x14ac:dyDescent="0.2">
      <c r="A15" s="25"/>
      <c r="B15" s="28"/>
      <c r="C15" s="21"/>
      <c r="D15" s="21"/>
      <c r="E15" s="26"/>
      <c r="F15" s="26"/>
      <c r="G15" s="25"/>
      <c r="H15" s="21"/>
    </row>
    <row r="16" spans="1:8" x14ac:dyDescent="0.2">
      <c r="A16" s="25"/>
      <c r="B16" s="28"/>
      <c r="C16" s="21"/>
      <c r="D16" s="21"/>
      <c r="E16" s="26"/>
      <c r="F16" s="26"/>
      <c r="G16" s="25"/>
      <c r="H16" s="21"/>
    </row>
    <row r="17" spans="1:8" x14ac:dyDescent="0.2">
      <c r="A17" s="25"/>
      <c r="B17" s="28"/>
      <c r="C17" s="21"/>
      <c r="D17" s="21"/>
      <c r="E17" s="26"/>
      <c r="F17" s="26"/>
      <c r="G17" s="25"/>
      <c r="H17" s="21"/>
    </row>
    <row r="18" spans="1:8" x14ac:dyDescent="0.2">
      <c r="A18" s="25"/>
      <c r="B18" s="28"/>
      <c r="C18" s="21"/>
      <c r="D18" s="21"/>
      <c r="E18" s="26"/>
      <c r="F18" s="26"/>
      <c r="G18" s="25"/>
      <c r="H18" s="21"/>
    </row>
    <row r="19" spans="1:8" x14ac:dyDescent="0.2">
      <c r="A19" s="25"/>
      <c r="B19" s="28"/>
      <c r="C19" s="21"/>
      <c r="D19" s="21"/>
      <c r="E19" s="26"/>
      <c r="F19" s="26"/>
      <c r="G19" s="25"/>
      <c r="H19" s="21"/>
    </row>
    <row r="20" spans="1:8" x14ac:dyDescent="0.2">
      <c r="A20" s="25"/>
      <c r="B20" s="28"/>
      <c r="C20" s="21"/>
      <c r="D20" s="21"/>
      <c r="E20" s="26"/>
      <c r="F20" s="26"/>
      <c r="G20" s="25"/>
      <c r="H20" s="21"/>
    </row>
    <row r="21" spans="1:8" x14ac:dyDescent="0.2">
      <c r="A21" s="25"/>
      <c r="B21" s="28"/>
      <c r="C21" s="21"/>
      <c r="D21" s="21"/>
      <c r="E21" s="26"/>
      <c r="F21" s="26"/>
      <c r="G21" s="25"/>
      <c r="H21" s="21"/>
    </row>
    <row r="22" spans="1:8" x14ac:dyDescent="0.2">
      <c r="A22" s="25"/>
      <c r="B22" s="28"/>
      <c r="C22" s="21"/>
      <c r="D22" s="21"/>
      <c r="E22" s="26"/>
      <c r="F22" s="26"/>
      <c r="G22" s="25"/>
      <c r="H22" s="21"/>
    </row>
    <row r="23" spans="1:8" x14ac:dyDescent="0.2">
      <c r="A23" s="25"/>
      <c r="B23" s="28"/>
      <c r="C23" s="21"/>
      <c r="D23" s="21"/>
      <c r="E23" s="26"/>
      <c r="F23" s="26"/>
      <c r="G23" s="25"/>
      <c r="H23" s="21"/>
    </row>
    <row r="24" spans="1:8" x14ac:dyDescent="0.2">
      <c r="A24" s="25"/>
      <c r="B24" s="28"/>
      <c r="C24" s="21"/>
      <c r="D24" s="21"/>
      <c r="E24" s="26"/>
      <c r="F24" s="26"/>
      <c r="G24" s="25"/>
      <c r="H24" s="21"/>
    </row>
    <row r="25" spans="1:8" x14ac:dyDescent="0.2">
      <c r="A25" s="25"/>
      <c r="B25" s="28"/>
      <c r="C25" s="21"/>
      <c r="D25" s="21"/>
      <c r="E25" s="26"/>
      <c r="F25" s="26"/>
      <c r="G25" s="25"/>
      <c r="H25" s="21"/>
    </row>
    <row r="26" spans="1:8" x14ac:dyDescent="0.2">
      <c r="A26" s="25"/>
      <c r="B26" s="28"/>
      <c r="C26" s="21"/>
      <c r="D26" s="21"/>
      <c r="E26" s="26"/>
      <c r="F26" s="26"/>
      <c r="G26" s="25"/>
      <c r="H26" s="21"/>
    </row>
    <row r="27" spans="1:8" x14ac:dyDescent="0.2">
      <c r="A27" s="25"/>
      <c r="B27" s="28"/>
      <c r="C27" s="21"/>
      <c r="D27" s="21"/>
      <c r="E27" s="26"/>
      <c r="F27" s="26"/>
      <c r="G27" s="25"/>
      <c r="H27" s="21"/>
    </row>
    <row r="28" spans="1:8" x14ac:dyDescent="0.2">
      <c r="A28" s="25"/>
      <c r="B28" s="28"/>
      <c r="C28" s="21"/>
      <c r="D28" s="21"/>
      <c r="E28" s="26"/>
      <c r="F28" s="26"/>
      <c r="G28" s="25"/>
      <c r="H28" s="21"/>
    </row>
    <row r="29" spans="1:8" x14ac:dyDescent="0.2">
      <c r="A29" s="25"/>
      <c r="B29" s="28"/>
      <c r="C29" s="21"/>
      <c r="D29" s="21"/>
      <c r="E29" s="26"/>
      <c r="F29" s="26"/>
      <c r="G29" s="25"/>
      <c r="H29" s="21"/>
    </row>
    <row r="30" spans="1:8" x14ac:dyDescent="0.2">
      <c r="A30" s="25"/>
      <c r="B30" s="28"/>
      <c r="C30" s="21"/>
      <c r="D30" s="21"/>
      <c r="E30" s="26"/>
      <c r="F30" s="26"/>
      <c r="G30" s="25"/>
      <c r="H30" s="21"/>
    </row>
    <row r="31" spans="1:8" x14ac:dyDescent="0.2">
      <c r="A31" s="25"/>
      <c r="B31" s="28"/>
      <c r="C31" s="21"/>
      <c r="D31" s="21"/>
      <c r="E31" s="26"/>
      <c r="F31" s="26"/>
      <c r="G31" s="25"/>
      <c r="H31" s="21"/>
    </row>
    <row r="32" spans="1:8" x14ac:dyDescent="0.2">
      <c r="A32" s="25"/>
      <c r="B32" s="28"/>
      <c r="C32" s="21"/>
      <c r="D32" s="21"/>
      <c r="E32" s="26"/>
      <c r="F32" s="26"/>
      <c r="G32" s="25"/>
      <c r="H32" s="21"/>
    </row>
    <row r="33" spans="1:8" x14ac:dyDescent="0.2">
      <c r="A33" s="25"/>
      <c r="B33" s="28"/>
      <c r="C33" s="21"/>
      <c r="D33" s="21"/>
      <c r="E33" s="26"/>
      <c r="F33" s="26"/>
      <c r="G33" s="25"/>
      <c r="H33" s="21"/>
    </row>
    <row r="34" spans="1:8" x14ac:dyDescent="0.2">
      <c r="A34" s="25"/>
      <c r="B34" s="28"/>
      <c r="C34" s="21"/>
      <c r="D34" s="21"/>
      <c r="E34" s="26"/>
      <c r="F34" s="26"/>
      <c r="G34" s="25"/>
      <c r="H34" s="21"/>
    </row>
    <row r="35" spans="1:8" x14ac:dyDescent="0.2">
      <c r="A35" s="25"/>
      <c r="B35" s="28"/>
      <c r="C35" s="21"/>
      <c r="D35" s="21"/>
      <c r="E35" s="26"/>
      <c r="F35" s="26"/>
      <c r="G35" s="25"/>
      <c r="H35" s="21"/>
    </row>
    <row r="36" spans="1:8" x14ac:dyDescent="0.2">
      <c r="A36" s="25"/>
      <c r="B36" s="28"/>
      <c r="C36" s="21"/>
      <c r="D36" s="21"/>
      <c r="E36" s="26"/>
      <c r="F36" s="26"/>
      <c r="G36" s="25"/>
      <c r="H36" s="21"/>
    </row>
    <row r="37" spans="1:8" x14ac:dyDescent="0.2">
      <c r="A37" s="25"/>
      <c r="B37" s="28"/>
      <c r="C37" s="21"/>
      <c r="D37" s="21"/>
      <c r="E37" s="26"/>
      <c r="F37" s="26"/>
      <c r="G37" s="25"/>
      <c r="H37" s="21"/>
    </row>
    <row r="38" spans="1:8" x14ac:dyDescent="0.2">
      <c r="A38" s="25"/>
      <c r="B38" s="28"/>
      <c r="C38" s="21"/>
      <c r="D38" s="21"/>
      <c r="E38" s="26"/>
      <c r="F38" s="26"/>
      <c r="G38" s="25"/>
      <c r="H38" s="21"/>
    </row>
    <row r="39" spans="1:8" x14ac:dyDescent="0.2">
      <c r="A39" s="25"/>
      <c r="B39" s="28"/>
      <c r="C39" s="21"/>
      <c r="D39" s="21"/>
      <c r="E39" s="26"/>
      <c r="F39" s="26"/>
      <c r="G39" s="25"/>
      <c r="H39" s="21"/>
    </row>
    <row r="40" spans="1:8" x14ac:dyDescent="0.2">
      <c r="A40" s="25"/>
      <c r="B40" s="28"/>
      <c r="C40" s="21"/>
      <c r="D40" s="21"/>
      <c r="E40" s="26"/>
      <c r="F40" s="26"/>
      <c r="G40" s="25"/>
      <c r="H40" s="21"/>
    </row>
  </sheetData>
  <mergeCells count="2">
    <mergeCell ref="A1:H1"/>
    <mergeCell ref="A2:H2"/>
  </mergeCells>
  <conditionalFormatting sqref="G5:G40">
    <cfRule type="cellIs" dxfId="2" priority="2" operator="equal">
      <formula>"Aprobada"</formula>
    </cfRule>
    <cfRule type="cellIs" dxfId="1" priority="3" operator="equal">
      <formula>"Rechazada"</formula>
    </cfRule>
    <cfRule type="cellIs" dxfId="0" priority="4" operator="equal">
      <formula>"Vencida"</formula>
    </cfRule>
  </conditionalFormatting>
  <dataValidations count="1">
    <dataValidation type="list" allowBlank="1" sqref="G5:G40" xr:uid="{00000000-0002-0000-0C00-000000000000}">
      <formula1>"Pendiente,Aprobada,Rechazada,Vencida"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Instrucciones</vt:lpstr>
      <vt:lpstr>Datos Empresa</vt:lpstr>
      <vt:lpstr>Catalogo Materiales</vt:lpstr>
      <vt:lpstr>Obras</vt:lpstr>
      <vt:lpstr>Movimientos</vt:lpstr>
      <vt:lpstr>Inventario Bodega</vt:lpstr>
      <vt:lpstr>Inventario por Obra</vt:lpstr>
      <vt:lpstr>Catalogo Herramientas</vt:lpstr>
      <vt:lpstr>Asignaciones Herramientas</vt:lpstr>
      <vt:lpstr>Ubicacion Herramientas</vt:lpstr>
      <vt:lpstr>Catalogo Precios Venta</vt:lpstr>
      <vt:lpstr>Cotizador</vt:lpstr>
      <vt:lpstr>Historial Cotizaciones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2026-07-18T03:08:21Z</dcterms:created>
  <dcterms:modified xsi:type="dcterms:W3CDTF">2026-07-18T03:08:21Z</dcterms:modified>
  <dc:language>en-US</dc:language>
</cp:coreProperties>
</file>